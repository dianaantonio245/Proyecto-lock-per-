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tonio\Downloads\"/>
    </mc:Choice>
  </mc:AlternateContent>
  <xr:revisionPtr revIDLastSave="0" documentId="8_{7362B65F-239C-4FB8-8603-0EFE912137F9}" xr6:coauthVersionLast="47" xr6:coauthVersionMax="47" xr10:uidLastSave="{00000000-0000-0000-0000-000000000000}"/>
  <bookViews>
    <workbookView xWindow="-110" yWindow="-110" windowWidth="19420" windowHeight="10300" xr2:uid="{4B2EE501-7E15-4C18-B67A-77A541871DB8}"/>
  </bookViews>
  <sheets>
    <sheet name="Bd Retail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4" i="1" l="1"/>
  <c r="AD5" i="1"/>
  <c r="C6" i="1"/>
  <c r="AD6" i="1"/>
  <c r="C7" i="1"/>
  <c r="AD7" i="1"/>
  <c r="C8" i="1"/>
  <c r="AD8" i="1"/>
  <c r="C9" i="1"/>
  <c r="AD9" i="1"/>
  <c r="C10" i="1"/>
  <c r="AD10" i="1"/>
  <c r="C11" i="1"/>
  <c r="AD11" i="1"/>
  <c r="C12" i="1"/>
  <c r="C13" i="1"/>
</calcChain>
</file>

<file path=xl/sharedStrings.xml><?xml version="1.0" encoding="utf-8"?>
<sst xmlns="http://schemas.openxmlformats.org/spreadsheetml/2006/main" count="2289" uniqueCount="551">
  <si>
    <t>Alta</t>
  </si>
  <si>
    <t>Yogures y leches fermentadas</t>
  </si>
  <si>
    <t>Media</t>
  </si>
  <si>
    <t>Whisky</t>
  </si>
  <si>
    <t>Vodka</t>
  </si>
  <si>
    <t>Vitamínicos</t>
  </si>
  <si>
    <t>Baja</t>
  </si>
  <si>
    <t>Vinos para cocinar</t>
  </si>
  <si>
    <t>Vinos espumosos</t>
  </si>
  <si>
    <t>Vinos</t>
  </si>
  <si>
    <t>Vinagre</t>
  </si>
  <si>
    <t>Verduras, vegetales, hortalizas y frutas congeladas</t>
  </si>
  <si>
    <t>Verduras, vegetales y hortalizas frescas</t>
  </si>
  <si>
    <t>Velas y veladoras</t>
  </si>
  <si>
    <t>Vegetales en conserva </t>
  </si>
  <si>
    <t>Vasos, copas y tazas no desechables</t>
  </si>
  <si>
    <t>Vasos, copas y tazas desechables</t>
  </si>
  <si>
    <t>Varios</t>
  </si>
  <si>
    <t>Vajillas y artículos de servicio</t>
  </si>
  <si>
    <t>Vacuno</t>
  </si>
  <si>
    <t>Útiles para uso de los almacenes</t>
  </si>
  <si>
    <t>Untables en conserva</t>
  </si>
  <si>
    <t>Ungüentos musculares</t>
  </si>
  <si>
    <t>Tratamientos para ropa</t>
  </si>
  <si>
    <t>Tratamientos capilares</t>
  </si>
  <si>
    <t>Tortillas de maíz y trigo (estilo mexicano)</t>
  </si>
  <si>
    <t>Toallas húmedas</t>
  </si>
  <si>
    <t>Toallas desinfectantes</t>
  </si>
  <si>
    <t>Toallas</t>
  </si>
  <si>
    <t>Tintes para el cabello</t>
  </si>
  <si>
    <t>Tequila y complementos</t>
  </si>
  <si>
    <t>Teléfonos celulares</t>
  </si>
  <si>
    <t>Té Listo LPC</t>
  </si>
  <si>
    <t>Tarjetas telefónicas</t>
  </si>
  <si>
    <t>Talco para bebé</t>
  </si>
  <si>
    <t>Talco desodorante</t>
  </si>
  <si>
    <t>Sustitutos lácteos para café</t>
  </si>
  <si>
    <t>Sustancias de Control (narcóticos)</t>
  </si>
  <si>
    <t>Sueros Orales</t>
  </si>
  <si>
    <t>Suavizantes de tela</t>
  </si>
  <si>
    <t>Sopas y cremas preparadas o deshidratadas</t>
  </si>
  <si>
    <t>Sopas instantáneas tipo ramen</t>
  </si>
  <si>
    <t>Skus en verificación</t>
  </si>
  <si>
    <t>Shampoo para bebé</t>
  </si>
  <si>
    <t>Shampoo</t>
  </si>
  <si>
    <t>Servilletas de papel</t>
  </si>
  <si>
    <t>Sedería</t>
  </si>
  <si>
    <t>Seco</t>
  </si>
  <si>
    <t>Salsas picantes</t>
  </si>
  <si>
    <t>Salsas para spaguetti y pasta</t>
  </si>
  <si>
    <t>Salsas para especialidades</t>
  </si>
  <si>
    <t>Salsas para condimentar y sazonar</t>
  </si>
  <si>
    <t>Salón de belleza</t>
  </si>
  <si>
    <t>Sal y sustitutos</t>
  </si>
  <si>
    <t>Sábanas</t>
  </si>
  <si>
    <t>Ropa en general</t>
  </si>
  <si>
    <t>Ropa de bebé</t>
  </si>
  <si>
    <t>Ron y aguardiente</t>
  </si>
  <si>
    <t>Rollos fotográficos</t>
  </si>
  <si>
    <t>Revistas y libros</t>
  </si>
  <si>
    <t>Revelado de fotos</t>
  </si>
  <si>
    <t>Repostería</t>
  </si>
  <si>
    <t>Repelentes de insectos</t>
  </si>
  <si>
    <t>Remedios para la tos</t>
  </si>
  <si>
    <t>Remedios para la gripe</t>
  </si>
  <si>
    <t>Remedios para el estómago, Anti-diarreicos y antiácidos</t>
  </si>
  <si>
    <t>Recipientes y Moldes para hornear</t>
  </si>
  <si>
    <t>Quitaesmaltes</t>
  </si>
  <si>
    <t>Quesos procesados empacados</t>
  </si>
  <si>
    <t>Quesos a granel</t>
  </si>
  <si>
    <t>Purés procesados y empacados</t>
  </si>
  <si>
    <t>Pulidores de metal</t>
  </si>
  <si>
    <t>Protección solar</t>
  </si>
  <si>
    <t>Protección femenina</t>
  </si>
  <si>
    <t>Productos, accesorios y útiles de perfumería y belleza</t>
  </si>
  <si>
    <t>Productos refrescantes del aliento</t>
  </si>
  <si>
    <t>Productos para maternidad y lactancia</t>
  </si>
  <si>
    <t>Productos para la higiene bucal</t>
  </si>
  <si>
    <t>Productos para incontinencia</t>
  </si>
  <si>
    <t>Productos para el calzado</t>
  </si>
  <si>
    <t>Productos naturistas y orgánicos nutricionales</t>
  </si>
  <si>
    <t>Bronze</t>
  </si>
  <si>
    <t>Mensual</t>
  </si>
  <si>
    <t>Sistemático</t>
  </si>
  <si>
    <t>Embutidos</t>
  </si>
  <si>
    <t>KA Cenco</t>
  </si>
  <si>
    <t>Zimmermann</t>
  </si>
  <si>
    <t>Productos esotéricos</t>
  </si>
  <si>
    <t>Scan Data Supermercados</t>
  </si>
  <si>
    <t>Westphalia Alimentos</t>
  </si>
  <si>
    <t>Productos dietéticos y nutricionales</t>
  </si>
  <si>
    <t>One Shot</t>
  </si>
  <si>
    <t>Backdata</t>
  </si>
  <si>
    <t>Scan Data C&amp;C</t>
  </si>
  <si>
    <t>Productos de aseo íntimo femenino</t>
  </si>
  <si>
    <t>Silver</t>
  </si>
  <si>
    <t>Bimestral</t>
  </si>
  <si>
    <t>Café y Sucedáneos</t>
  </si>
  <si>
    <t>Verdum</t>
  </si>
  <si>
    <t>Postres preparados</t>
  </si>
  <si>
    <t>Postres empacados</t>
  </si>
  <si>
    <t>Semanal</t>
  </si>
  <si>
    <t>Limpiadores</t>
  </si>
  <si>
    <t>Unilever</t>
  </si>
  <si>
    <t>Porcino</t>
  </si>
  <si>
    <t>Lavavajillas</t>
  </si>
  <si>
    <t>Platos desechables</t>
  </si>
  <si>
    <t>Jabón de tocador</t>
  </si>
  <si>
    <t>Platillos preparados en conserva y empacados</t>
  </si>
  <si>
    <t>Hair Care</t>
  </si>
  <si>
    <t>Platillos preparados congelados</t>
  </si>
  <si>
    <t>Gel y Modeladores</t>
  </si>
  <si>
    <t>Platillos cárnicos congelados</t>
  </si>
  <si>
    <t>Desodorantes</t>
  </si>
  <si>
    <t>Planificación familiar</t>
  </si>
  <si>
    <t>Cuidado de la piel</t>
  </si>
  <si>
    <t>Pinturas y accesorios</t>
  </si>
  <si>
    <t>Shot</t>
  </si>
  <si>
    <t>Hamburguesas</t>
  </si>
  <si>
    <t>Ticay</t>
  </si>
  <si>
    <t>Pilas y baterías</t>
  </si>
  <si>
    <t>Carne Res</t>
  </si>
  <si>
    <t>Pescados y mariscos en conserva</t>
  </si>
  <si>
    <t>Toallas Húmedas</t>
  </si>
  <si>
    <t>Softys</t>
  </si>
  <si>
    <t>Pescados y mariscos congelados</t>
  </si>
  <si>
    <t>Toallas Humedas</t>
  </si>
  <si>
    <t>Pescado y marisco fresco</t>
  </si>
  <si>
    <t>Protección Femenina</t>
  </si>
  <si>
    <t>Periódicos</t>
  </si>
  <si>
    <t>Película plástica autoadherible</t>
  </si>
  <si>
    <t>Papel Toalla</t>
  </si>
  <si>
    <t>Pastelería y repostería fresca</t>
  </si>
  <si>
    <t>Pastelería industrial</t>
  </si>
  <si>
    <t>Incontinencia</t>
  </si>
  <si>
    <t>Pastas y salsas de Tomate</t>
  </si>
  <si>
    <t>Pastas secas alimenticias</t>
  </si>
  <si>
    <t>Parafarmacia</t>
  </si>
  <si>
    <t>Papillas para bebé</t>
  </si>
  <si>
    <t>Papelería, Cuadernos y Libretas</t>
  </si>
  <si>
    <t>Papel toalla</t>
  </si>
  <si>
    <t>Papel higiénico</t>
  </si>
  <si>
    <t>Papel encerado</t>
  </si>
  <si>
    <t>Papel aluminio</t>
  </si>
  <si>
    <t>Pañuelos desechables</t>
  </si>
  <si>
    <t>Trimestral</t>
  </si>
  <si>
    <t>Scan Data TTCC</t>
  </si>
  <si>
    <t>Santiago Queirolo</t>
  </si>
  <si>
    <t>Paños de limpieza</t>
  </si>
  <si>
    <t>Pisco</t>
  </si>
  <si>
    <t>Pañales para bebé</t>
  </si>
  <si>
    <t>Alcopops</t>
  </si>
  <si>
    <t>Panadería y pastelería congelada</t>
  </si>
  <si>
    <t>Panadería industrial</t>
  </si>
  <si>
    <t>Panadería fresca</t>
  </si>
  <si>
    <t>Espumantes</t>
  </si>
  <si>
    <t>Palillos de dientes</t>
  </si>
  <si>
    <t>Ovino, Caprino y otros animales</t>
  </si>
  <si>
    <t>Otros Ferretería</t>
  </si>
  <si>
    <t>Oftálmicos</t>
  </si>
  <si>
    <t>Ofertas varias</t>
  </si>
  <si>
    <t>Mueblería en general</t>
  </si>
  <si>
    <t>Snacks</t>
  </si>
  <si>
    <t>San Jorge</t>
  </si>
  <si>
    <t>Mostaza</t>
  </si>
  <si>
    <t>Galletas</t>
  </si>
  <si>
    <t>Modeladores para el cabello</t>
  </si>
  <si>
    <t>Fideos</t>
  </si>
  <si>
    <t>Miel, sirope y melazas</t>
  </si>
  <si>
    <t>Mermeladas y jaleas</t>
  </si>
  <si>
    <t>Medicamentos para el sistema nervioso central</t>
  </si>
  <si>
    <t>Mayonesas y untables</t>
  </si>
  <si>
    <t>Gold</t>
  </si>
  <si>
    <t>Target Store</t>
  </si>
  <si>
    <t xml:space="preserve">San Fernando </t>
  </si>
  <si>
    <t>Material de curación</t>
  </si>
  <si>
    <t>Congelados</t>
  </si>
  <si>
    <t>Mascotas</t>
  </si>
  <si>
    <t>Carne Pollo</t>
  </si>
  <si>
    <t>Máquinas de afeitar</t>
  </si>
  <si>
    <t>Huevos</t>
  </si>
  <si>
    <t>Mantequillas y margarinas</t>
  </si>
  <si>
    <t>Mantequilla de maní</t>
  </si>
  <si>
    <t>Manteles e individuales de mesa</t>
  </si>
  <si>
    <t>Mantecas comestibles</t>
  </si>
  <si>
    <t>Carne Pavo</t>
  </si>
  <si>
    <t>Lociones y fragancia para bebé</t>
  </si>
  <si>
    <t>Carne Cerdo</t>
  </si>
  <si>
    <t>Loción para después de afeitarse</t>
  </si>
  <si>
    <t>Linternas</t>
  </si>
  <si>
    <t>Línea blanca</t>
  </si>
  <si>
    <t>Limpieza y cuidado automotriz</t>
  </si>
  <si>
    <t>Limpiadores, desinfectantes y desengrasantes</t>
  </si>
  <si>
    <t>Limpiadores para horno</t>
  </si>
  <si>
    <t>Piscos y Vinos</t>
  </si>
  <si>
    <t>S.N.I</t>
  </si>
  <si>
    <t>Leches y fórmulas infantiles</t>
  </si>
  <si>
    <t>Petfood</t>
  </si>
  <si>
    <t>Rinti</t>
  </si>
  <si>
    <t>Leche UHT</t>
  </si>
  <si>
    <t>Pet Care</t>
  </si>
  <si>
    <t>Leche fresca</t>
  </si>
  <si>
    <t>Leche evaporada y sustitutos de leche evaporada</t>
  </si>
  <si>
    <t>Redondos</t>
  </si>
  <si>
    <t>Leche en polvo</t>
  </si>
  <si>
    <t>Cerdo</t>
  </si>
  <si>
    <t>Leche condensada</t>
  </si>
  <si>
    <t>Laxantes</t>
  </si>
  <si>
    <t>Ketchup</t>
  </si>
  <si>
    <t>Semestral</t>
  </si>
  <si>
    <t>Juguetería</t>
  </si>
  <si>
    <t>Jugos, néctares y bebidas refrescantes</t>
  </si>
  <si>
    <t>Jugos y concentrados para jugo</t>
  </si>
  <si>
    <t>Jugos para bebé</t>
  </si>
  <si>
    <t xml:space="preserve">Quitamanchas </t>
  </si>
  <si>
    <t>Reckitt Benckiser Home</t>
  </si>
  <si>
    <t>Joyería, relojería y prendas de fantasía</t>
  </si>
  <si>
    <t>Jardinería, fertilizantes y accesorios</t>
  </si>
  <si>
    <t>Proteccion y Placer</t>
  </si>
  <si>
    <t>Reckitt Benckiser Health</t>
  </si>
  <si>
    <t>Jabón en barra para ropa</t>
  </si>
  <si>
    <t>Jabón de baño para bebé</t>
  </si>
  <si>
    <t>Leches Formuladas</t>
  </si>
  <si>
    <t>Jabón de aseo personal</t>
  </si>
  <si>
    <t>Complementos</t>
  </si>
  <si>
    <t>Instrumentos y accesorios musicales</t>
  </si>
  <si>
    <t>Infusiones y té</t>
  </si>
  <si>
    <t>Implementos y accesorios de escritura</t>
  </si>
  <si>
    <t>Razzeto</t>
  </si>
  <si>
    <t>Implementos de deporte</t>
  </si>
  <si>
    <t>Sal</t>
  </si>
  <si>
    <t>Quimpac</t>
  </si>
  <si>
    <t>Huevos y sustitutos de huevos</t>
  </si>
  <si>
    <t>Hojas y cartuchos de afeitar</t>
  </si>
  <si>
    <t>Hisopos</t>
  </si>
  <si>
    <t>Tratamiento para Cabello</t>
  </si>
  <si>
    <t>Quala</t>
  </si>
  <si>
    <t>Hielo</t>
  </si>
  <si>
    <t>Hieleras, termos y recipientes para beber</t>
  </si>
  <si>
    <t>Crema para peinar</t>
  </si>
  <si>
    <t>Herramientas</t>
  </si>
  <si>
    <t>Acondicionador</t>
  </si>
  <si>
    <t>Helados y paletas</t>
  </si>
  <si>
    <t>Productos Sancela/Essity</t>
  </si>
  <si>
    <t>Harinas simples</t>
  </si>
  <si>
    <t>Talcos para pies</t>
  </si>
  <si>
    <t>Perufarma</t>
  </si>
  <si>
    <t>Harinas preparadas</t>
  </si>
  <si>
    <t>Licores</t>
  </si>
  <si>
    <t>Guantes de limpieza</t>
  </si>
  <si>
    <t>Depilatorios</t>
  </si>
  <si>
    <t>Granos y legumbres secas</t>
  </si>
  <si>
    <t>Chocolates</t>
  </si>
  <si>
    <t>Goma de mascar</t>
  </si>
  <si>
    <t>Oregon Foods</t>
  </si>
  <si>
    <t>Ginebra</t>
  </si>
  <si>
    <t>Geles y toallas antibacteriales</t>
  </si>
  <si>
    <t>Carnes (Pollo, Res, Cerdo)</t>
  </si>
  <si>
    <t>Gaseosas / Bebidas carbonatadas</t>
  </si>
  <si>
    <t>Carne Pescado</t>
  </si>
  <si>
    <t>Galletas saladas</t>
  </si>
  <si>
    <t>Galletas para bebé</t>
  </si>
  <si>
    <t>Galletas dulces</t>
  </si>
  <si>
    <t>Frutas y dulces en conserva</t>
  </si>
  <si>
    <t>Frutas frescas</t>
  </si>
  <si>
    <t>(en blanco)</t>
  </si>
  <si>
    <t>Leche Vegetal</t>
  </si>
  <si>
    <t>Nestle</t>
  </si>
  <si>
    <t>Fruta seca o deshidratada</t>
  </si>
  <si>
    <t>Panetones</t>
  </si>
  <si>
    <t>Frijoles procesados</t>
  </si>
  <si>
    <t>Modificadores y Cocoas</t>
  </si>
  <si>
    <t>Focos y bombillos</t>
  </si>
  <si>
    <t>Leche evaporada</t>
  </si>
  <si>
    <t>Fibras y esponjas de limpieza</t>
  </si>
  <si>
    <t>Helados TH e Impulso</t>
  </si>
  <si>
    <t>Farmacia Especializada</t>
  </si>
  <si>
    <t>Estuches de cosméticos</t>
  </si>
  <si>
    <t>Cereales</t>
  </si>
  <si>
    <t>Espumas y geles para afeitado y depilación</t>
  </si>
  <si>
    <t>Café soluble + Cebadas</t>
  </si>
  <si>
    <t>Espirituosos y cordiales</t>
  </si>
  <si>
    <t>Baby Food</t>
  </si>
  <si>
    <t>Especias y sazonadores</t>
  </si>
  <si>
    <t>Gomas de Mascar</t>
  </si>
  <si>
    <t>Mondelez</t>
  </si>
  <si>
    <t>Envases plásticos</t>
  </si>
  <si>
    <t>Enjuagues bucales</t>
  </si>
  <si>
    <t>Encurtidos</t>
  </si>
  <si>
    <t>Encendedores y fósforos</t>
  </si>
  <si>
    <t>Yogurt</t>
  </si>
  <si>
    <t>Laive</t>
  </si>
  <si>
    <t>Electrónicos</t>
  </si>
  <si>
    <t>Quesos</t>
  </si>
  <si>
    <t>Electrodomésticos</t>
  </si>
  <si>
    <t>Margarinas/Mantequillas</t>
  </si>
  <si>
    <t>Edulcorantes</t>
  </si>
  <si>
    <t>Leches</t>
  </si>
  <si>
    <t>Disfunción eréctil</t>
  </si>
  <si>
    <t>Detergentes para trastes y vajillas</t>
  </si>
  <si>
    <t>Detergentes para ropa</t>
  </si>
  <si>
    <t>Destapacaños</t>
  </si>
  <si>
    <t>Desodorantes corporales</t>
  </si>
  <si>
    <t>Leche</t>
  </si>
  <si>
    <t>Dermatológicos</t>
  </si>
  <si>
    <t>Cuidado y accesorios para mascotas</t>
  </si>
  <si>
    <t>KA SPSA</t>
  </si>
  <si>
    <t>Cuidado para piso</t>
  </si>
  <si>
    <t xml:space="preserve">Grasas </t>
  </si>
  <si>
    <t>Cuidado para pies</t>
  </si>
  <si>
    <t>Cuatrimestral</t>
  </si>
  <si>
    <t>Golosinas</t>
  </si>
  <si>
    <t>La Iberica</t>
  </si>
  <si>
    <t>Cuidado para muebles</t>
  </si>
  <si>
    <t>Cuidado para alfombras</t>
  </si>
  <si>
    <t>Salsas Orientales</t>
  </si>
  <si>
    <t>Kikko</t>
  </si>
  <si>
    <t>Cuidado facial</t>
  </si>
  <si>
    <t>Invetsa</t>
  </si>
  <si>
    <t>Cuidado corporal</t>
  </si>
  <si>
    <t>Impronta Research</t>
  </si>
  <si>
    <t>Cubiertos desechables</t>
  </si>
  <si>
    <t>Cubiertos de mesa y servicio</t>
  </si>
  <si>
    <t>Styling</t>
  </si>
  <si>
    <t>Henkel</t>
  </si>
  <si>
    <t>Cristalería y Decoración</t>
  </si>
  <si>
    <t>Cremas, aceites y pomadas para bebé</t>
  </si>
  <si>
    <t>Detergentes</t>
  </si>
  <si>
    <t>Cremas y pastas dentales</t>
  </si>
  <si>
    <t>Crema comestible</t>
  </si>
  <si>
    <t>Gloria</t>
  </si>
  <si>
    <t>Cosméticos para uñas</t>
  </si>
  <si>
    <t>Cosméticos para ojos</t>
  </si>
  <si>
    <t>Cosméticos para labios</t>
  </si>
  <si>
    <t>Cosméticos faciales</t>
  </si>
  <si>
    <t>Bebibles</t>
  </si>
  <si>
    <t>Control de insectos y plagas</t>
  </si>
  <si>
    <t>Aguas</t>
  </si>
  <si>
    <t>Consomé y caldos</t>
  </si>
  <si>
    <t>Concentrados para bebidas</t>
  </si>
  <si>
    <t>Complementos para barbacoas</t>
  </si>
  <si>
    <t>Carbón</t>
  </si>
  <si>
    <t>Fopesa</t>
  </si>
  <si>
    <t>Colonias y perfumes</t>
  </si>
  <si>
    <t>Exportadora Romex</t>
  </si>
  <si>
    <t>Cognac</t>
  </si>
  <si>
    <t>Cócteles y complementos</t>
  </si>
  <si>
    <t xml:space="preserve">Panadería Industrial </t>
  </si>
  <si>
    <t xml:space="preserve">El Cedro </t>
  </si>
  <si>
    <t>Cloros y blanqueadores</t>
  </si>
  <si>
    <t>Snacks Extruidos</t>
  </si>
  <si>
    <t>Dyfferent</t>
  </si>
  <si>
    <t>Cigarrillos</t>
  </si>
  <si>
    <t>Chiles en conserva</t>
  </si>
  <si>
    <t>Cervezas</t>
  </si>
  <si>
    <t>Cerrajería</t>
  </si>
  <si>
    <t>Avenas</t>
  </si>
  <si>
    <t>Cereales para bebé</t>
  </si>
  <si>
    <t>Delice</t>
  </si>
  <si>
    <t>Cereales fríos</t>
  </si>
  <si>
    <t>Cereales calientes</t>
  </si>
  <si>
    <t>Arroz</t>
  </si>
  <si>
    <t>Costeño</t>
  </si>
  <si>
    <t>Cepillos dentales</t>
  </si>
  <si>
    <t>Scan Data</t>
  </si>
  <si>
    <t>Carteras, maletines y bolsos</t>
  </si>
  <si>
    <t>Carrizos</t>
  </si>
  <si>
    <t>Corporacion Rico</t>
  </si>
  <si>
    <t>Carnes y patés en conserva</t>
  </si>
  <si>
    <t>Carnes frías y embutidos empacados</t>
  </si>
  <si>
    <t>Carnes frías y embutidos a granel</t>
  </si>
  <si>
    <t>Carbón y briquetas</t>
  </si>
  <si>
    <t>Cartavio Rum Company</t>
  </si>
  <si>
    <t>Caramelos, golosinas y pastillas</t>
  </si>
  <si>
    <t>Cámaras fotográficas</t>
  </si>
  <si>
    <t>Ron</t>
  </si>
  <si>
    <t>Calzados</t>
  </si>
  <si>
    <t>Cafetería y platillos para llevar</t>
  </si>
  <si>
    <t>Braedt</t>
  </si>
  <si>
    <t>Café tostado y molido</t>
  </si>
  <si>
    <t>Café instantáneo</t>
  </si>
  <si>
    <t>Brandy</t>
  </si>
  <si>
    <t>Boquitas, Snacks y complementos</t>
  </si>
  <si>
    <t>Bolsas para hornear</t>
  </si>
  <si>
    <t>Arcor</t>
  </si>
  <si>
    <t>Bolsas para empacado</t>
  </si>
  <si>
    <t>Bolsas para basura</t>
  </si>
  <si>
    <t>Blanqueadores dentales</t>
  </si>
  <si>
    <t>Biberones y mamilas</t>
  </si>
  <si>
    <t>Bebidas lácteas saborizadas</t>
  </si>
  <si>
    <t>Salsas Frías</t>
  </si>
  <si>
    <t>Alicorp Consumo</t>
  </si>
  <si>
    <t>Bebidas isotónicas</t>
  </si>
  <si>
    <t>Bebidas energéticas</t>
  </si>
  <si>
    <t>Bebidas de soya y cereal saborizadas</t>
  </si>
  <si>
    <t>Bebidas alcohólicas mezcladas</t>
  </si>
  <si>
    <t>Baterías de cocina, ollas, sartenes y pailas para cocinar</t>
  </si>
  <si>
    <t>Aceites</t>
  </si>
  <si>
    <t>Barras alimenticias</t>
  </si>
  <si>
    <t>Azúcar</t>
  </si>
  <si>
    <t>Ayudas para cocinar</t>
  </si>
  <si>
    <t xml:space="preserve">Oficina </t>
  </si>
  <si>
    <t>Lock</t>
  </si>
  <si>
    <t>Peru</t>
  </si>
  <si>
    <t>Comercial</t>
  </si>
  <si>
    <t>Lu Jara</t>
  </si>
  <si>
    <t>Aves</t>
  </si>
  <si>
    <t>Andrea Alencastre</t>
  </si>
  <si>
    <t>Suavizantes</t>
  </si>
  <si>
    <t>Asadores</t>
  </si>
  <si>
    <t>Rolando Calderón</t>
  </si>
  <si>
    <t>Artículos navideños para decoración</t>
  </si>
  <si>
    <t xml:space="preserve">Fernando Matos </t>
  </si>
  <si>
    <t xml:space="preserve">Romina Canales </t>
  </si>
  <si>
    <t>Salsas Culinarias</t>
  </si>
  <si>
    <t>Aromatizantes ambientales</t>
  </si>
  <si>
    <t>Maria Alejandra Cuadros Espejo</t>
  </si>
  <si>
    <t>Quitamanchas</t>
  </si>
  <si>
    <t>Armas y municiones</t>
  </si>
  <si>
    <t>Xoann Kahre Carreras Machiavello</t>
  </si>
  <si>
    <t>Postres</t>
  </si>
  <si>
    <t>Apanadores y enharinadores</t>
  </si>
  <si>
    <t>Maria Jose Ortega Uribe</t>
  </si>
  <si>
    <t>Pastas Dentales</t>
  </si>
  <si>
    <t>Anti-Migrañosos</t>
  </si>
  <si>
    <t>Mateo Trapunsky Vera</t>
  </si>
  <si>
    <t>Antimicóticos</t>
  </si>
  <si>
    <t>DICHTER &amp; NEIRA PERU SAC</t>
  </si>
  <si>
    <t>Miguel Rengifo Rivera</t>
  </si>
  <si>
    <t>Antiinflamatorios</t>
  </si>
  <si>
    <t>Nathaly Meise Sanchez Vilcarromero</t>
  </si>
  <si>
    <t>Antibióticos</t>
  </si>
  <si>
    <t>Jose Luis Alejandro Quezada Navarro</t>
  </si>
  <si>
    <t>Antialérgicos</t>
  </si>
  <si>
    <t>Dichter &amp; Neira Peru SAC</t>
  </si>
  <si>
    <t>Gabriela Galvez Noel</t>
  </si>
  <si>
    <t>Lejias</t>
  </si>
  <si>
    <t>Analgésicos</t>
  </si>
  <si>
    <t>Miguel Angel Mucha Sarmiento</t>
  </si>
  <si>
    <t>Almohadas y cojines</t>
  </si>
  <si>
    <t>Servicios de Campo Peru SAC</t>
  </si>
  <si>
    <t>Ana Karina Chavez Rodriguez</t>
  </si>
  <si>
    <t>Alimento para animales</t>
  </si>
  <si>
    <t>Diana Valeria Fernandez Espinoza</t>
  </si>
  <si>
    <t>Jabon de Lavar</t>
  </si>
  <si>
    <t>Alfombras y tapetes</t>
  </si>
  <si>
    <t>Franz Marco Rodriguez Vasquez</t>
  </si>
  <si>
    <t>Harinas + Premezclas</t>
  </si>
  <si>
    <t>Agua embotellada</t>
  </si>
  <si>
    <t>Rodrigo Agusto Merino Erazo</t>
  </si>
  <si>
    <t>Complejidad</t>
  </si>
  <si>
    <t>Tier</t>
  </si>
  <si>
    <t>Servicio Campo</t>
  </si>
  <si>
    <t>Aditivos y saborizantes para leche</t>
  </si>
  <si>
    <t>Gracia Liz Paloma Vasquez Miranda</t>
  </si>
  <si>
    <t>Aderezos y complementos para ensalada</t>
  </si>
  <si>
    <t>Rebeca Gonzales Zegarra</t>
  </si>
  <si>
    <t>Acondicionadores para el cabello</t>
  </si>
  <si>
    <t>Carlos Alberto Yllescas Oliveros</t>
  </si>
  <si>
    <t>Aceitunas en conserva</t>
  </si>
  <si>
    <t>Natalia Monica Gutierrez Torres</t>
  </si>
  <si>
    <t>Conservas de Pescado</t>
  </si>
  <si>
    <t>Aceites,  lubricantes y anticongelantes</t>
  </si>
  <si>
    <t>Luciano Arturo Martinez Libert</t>
  </si>
  <si>
    <t>Aceites comestibles</t>
  </si>
  <si>
    <t>Paloma Suarez Marmol</t>
  </si>
  <si>
    <t>Accesorios y útiles de higiene personal</t>
  </si>
  <si>
    <t>Ingrid Melissa Garcia Giron</t>
  </si>
  <si>
    <t>Back Data</t>
  </si>
  <si>
    <t>Retail_SC</t>
  </si>
  <si>
    <t>Sillao</t>
  </si>
  <si>
    <t>Ajinomoto</t>
  </si>
  <si>
    <t>Accesorios y refacciones</t>
  </si>
  <si>
    <t>Sayuri Arleth Renatta Ludena Roman</t>
  </si>
  <si>
    <t>ANUAL (acumulado)</t>
  </si>
  <si>
    <t>Sazonadores</t>
  </si>
  <si>
    <t>Accesorios varios de oficina y escolares</t>
  </si>
  <si>
    <t>Yacole Serguei Condor Lujan</t>
  </si>
  <si>
    <t>ANUAL (apertura mensual)</t>
  </si>
  <si>
    <t>Caldos</t>
  </si>
  <si>
    <t>Accesorios para fiestas</t>
  </si>
  <si>
    <t>Diego Manuel Enrique Vega Vasquez</t>
  </si>
  <si>
    <t>Semestral (acumulado)</t>
  </si>
  <si>
    <t>Sopas y Cremas</t>
  </si>
  <si>
    <t>KKAA Totus</t>
  </si>
  <si>
    <t>Accesorios para bebé</t>
  </si>
  <si>
    <t>Luciano Andres Ugarte Grimaldo</t>
  </si>
  <si>
    <t>Semestral (apertura mensual)</t>
  </si>
  <si>
    <t>KKAA Censo</t>
  </si>
  <si>
    <t>Accesorios para baño</t>
  </si>
  <si>
    <t>Marcelo Hernandez Venegas</t>
  </si>
  <si>
    <t>Trimestral (apertura mensual)</t>
  </si>
  <si>
    <t xml:space="preserve">Salsas Orientales </t>
  </si>
  <si>
    <t>Anual</t>
  </si>
  <si>
    <t>KKAA Supesa</t>
  </si>
  <si>
    <t>Accesorios para Audio y video</t>
  </si>
  <si>
    <t>Vanessa Dineen Brown</t>
  </si>
  <si>
    <t>3 Año</t>
  </si>
  <si>
    <t>Bimestral (consolidado de 2 meses)</t>
  </si>
  <si>
    <t>Comidas Instantáneas</t>
  </si>
  <si>
    <t>Accesorios generales para hogar</t>
  </si>
  <si>
    <t>Patricia Cecilia Pellon Delgadillo de Chu</t>
  </si>
  <si>
    <t>2 Año</t>
  </si>
  <si>
    <t>Mensual c/ entrega semanal</t>
  </si>
  <si>
    <t>Caldos/Sazonadores</t>
  </si>
  <si>
    <t>Accesorios de limpieza</t>
  </si>
  <si>
    <t>Jesus Alejandro Lock Rivera</t>
  </si>
  <si>
    <t>1 Año</t>
  </si>
  <si>
    <t>Mensual c/ apertura semanal entrega mensual</t>
  </si>
  <si>
    <t>Bases para apanar</t>
  </si>
  <si>
    <t>Accesorios de lavandería</t>
  </si>
  <si>
    <t>STATUS</t>
  </si>
  <si>
    <t>RAZON SOCIAL</t>
  </si>
  <si>
    <t>JEFATURA</t>
  </si>
  <si>
    <t>GERENCIA</t>
  </si>
  <si>
    <t>DEPARTAMENTO</t>
  </si>
  <si>
    <t>NOMBRES COMPLETOS</t>
  </si>
  <si>
    <t>ID</t>
  </si>
  <si>
    <t>Duracion Contrato</t>
  </si>
  <si>
    <t>Tier Cliente</t>
  </si>
  <si>
    <t>Columna1</t>
  </si>
  <si>
    <t>Factor</t>
  </si>
  <si>
    <t>Entrega</t>
  </si>
  <si>
    <t>BU</t>
  </si>
  <si>
    <t>Endulzantes</t>
  </si>
  <si>
    <t>Agroparamonga</t>
  </si>
  <si>
    <t>Accesorios de cocina</t>
  </si>
  <si>
    <t>Promedio de Total</t>
  </si>
  <si>
    <t>Promedio de Dic-26</t>
  </si>
  <si>
    <t>Promedio de nov-26</t>
  </si>
  <si>
    <t>Promedio de oct-26</t>
  </si>
  <si>
    <t>Promedio de Set-26</t>
  </si>
  <si>
    <t>Promedio de Ago-26</t>
  </si>
  <si>
    <t>Promedio de jul-26</t>
  </si>
  <si>
    <t>Promedio de jun-26</t>
  </si>
  <si>
    <t>Promedio de may-26</t>
  </si>
  <si>
    <t>Promedio de Abr-26</t>
  </si>
  <si>
    <t>Promedio de mar-26</t>
  </si>
  <si>
    <t>Promedio de feb-26</t>
  </si>
  <si>
    <t>Promedio de Ene-26</t>
  </si>
  <si>
    <t>Frecuencia</t>
  </si>
  <si>
    <t>Periodicidad</t>
  </si>
  <si>
    <t>Categorías Homologada</t>
  </si>
  <si>
    <t>Cliente</t>
  </si>
  <si>
    <t xml:space="preserve">Entrega </t>
  </si>
  <si>
    <t>Tier_RT</t>
  </si>
  <si>
    <t>Complejidad_RT</t>
  </si>
  <si>
    <t>Servicios_RT</t>
  </si>
  <si>
    <t>Nivel</t>
  </si>
  <si>
    <t>Categorías</t>
  </si>
  <si>
    <t>Tabla Para Actualizar Semestralmente - Es Resumen del Reconocimiento de la Venta Scan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</si>
</sst>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Verdana"/>
      <family val="2"/>
    </font>
    <font>
      <sz val="11"/>
      <color theme="1" tint="0.34998626667073579"/>
      <name val="Verdana"/>
      <family val="2"/>
    </font>
    <font>
      <b/>
      <sz val="11"/>
      <color rgb="FFFFFFFF"/>
      <name val="Aptos Narrow"/>
      <family val="2"/>
      <scheme val="minor"/>
    </font>
    <font>
      <sz val="11"/>
      <color theme="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gradientFill type="path" left="0.5" right="0.5" top="0.5" bottom="0.5">
        <stop position="0">
          <color theme="3" tint="-0.25098422193060094"/>
        </stop>
        <stop position="1">
          <color theme="1" tint="5.0965910824915313E-2"/>
        </stop>
      </gradientFill>
    </fill>
    <fill>
      <patternFill patternType="solid">
        <fgColor rgb="FF0070C0"/>
        <bgColor auto="1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3">
    <xf numFmtId="0" fontId="0" fillId="0" borderId="0"/>
    <xf numFmtId="0" fontId="3" fillId="0" borderId="0"/>
    <xf numFmtId="3" fontId="1" fillId="6" borderId="3">
      <alignment horizontal="center" vertical="center"/>
    </xf>
  </cellStyleXfs>
  <cellXfs count="12">
    <xf numFmtId="0" fontId="0" fillId="0" borderId="0" xfId="0"/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164" fontId="0" fillId="0" borderId="0" xfId="0" applyNumberFormat="1"/>
    <xf numFmtId="0" fontId="2" fillId="0" borderId="0" xfId="0" applyFont="1"/>
    <xf numFmtId="0" fontId="2" fillId="0" borderId="1" xfId="0" applyFont="1" applyBorder="1"/>
    <xf numFmtId="0" fontId="2" fillId="3" borderId="0" xfId="0" applyFont="1" applyFill="1"/>
    <xf numFmtId="0" fontId="5" fillId="4" borderId="0" xfId="0" applyFont="1" applyFill="1"/>
    <xf numFmtId="2" fontId="0" fillId="0" borderId="0" xfId="0" applyNumberFormat="1"/>
    <xf numFmtId="0" fontId="2" fillId="5" borderId="0" xfId="0" applyFont="1" applyFill="1"/>
    <xf numFmtId="0" fontId="2" fillId="5" borderId="2" xfId="0" applyFont="1" applyFill="1" applyBorder="1"/>
    <xf numFmtId="3" fontId="6" fillId="7" borderId="0" xfId="2" applyFont="1" applyFill="1" applyBorder="1">
      <alignment horizontal="center" vertical="center"/>
    </xf>
  </cellXfs>
  <cellStyles count="3">
    <cellStyle name="Azul" xfId="2" xr:uid="{F0ECAF02-7982-4781-A1E2-0771058E2824}"/>
    <cellStyle name="Normal" xfId="0" builtinId="0"/>
    <cellStyle name="Normal 2 2" xfId="1" xr:uid="{B090AB1A-85E5-4D6E-98D8-1364E27343C2}"/>
  </cellStyles>
  <dxfs count="39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209551</xdr:colOff>
      <xdr:row>48</xdr:row>
      <xdr:rowOff>139700</xdr:rowOff>
    </xdr:from>
    <xdr:ext cx="8728430" cy="2765974"/>
    <xdr:pic>
      <xdr:nvPicPr>
        <xdr:cNvPr id="2" name="Imagen 1">
          <a:extLst>
            <a:ext uri="{FF2B5EF4-FFF2-40B4-BE49-F238E27FC236}">
              <a16:creationId xmlns:a16="http://schemas.microsoft.com/office/drawing/2014/main" id="{42E17135-C58B-4C30-8F1D-7276BBC0F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1" y="8978900"/>
          <a:ext cx="8728430" cy="2765974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221604-29C7-4AC6-B325-1CD9AF147409}" name="Equipo_Comercial14" displayName="Equipo_Comercial14" ref="J5:P38" totalsRowShown="0" headerRowDxfId="38" dataDxfId="37">
  <autoFilter ref="J5:P38" xr:uid="{EDA321D8-20C6-4E63-BAEF-FCE0D91597E8}"/>
  <tableColumns count="7">
    <tableColumn id="1" xr3:uid="{CBB91214-C2A1-4C52-B1CD-4B9ED01CD62B}" name="ID" dataDxfId="36"/>
    <tableColumn id="2" xr3:uid="{8AA5DAC4-E3BE-4959-9189-30B1EB66F9D7}" name="NOMBRES COMPLETOS" dataDxfId="35"/>
    <tableColumn id="3" xr3:uid="{8C4EF3A3-B2EF-4249-B0D5-54E603115065}" name="DEPARTAMENTO" dataDxfId="34"/>
    <tableColumn id="4" xr3:uid="{24439713-57C6-4B57-BB71-B8A7180BD01E}" name="GERENCIA" dataDxfId="33"/>
    <tableColumn id="5" xr3:uid="{75DA1AFA-AA95-416C-871D-260C20888BCC}" name="JEFATURA" dataDxfId="32"/>
    <tableColumn id="6" xr3:uid="{20132B24-9F21-4357-83DD-264F16F3E6F8}" name="RAZON SOCIAL" dataDxfId="31"/>
    <tableColumn id="7" xr3:uid="{826DB019-3F39-4839-AEF3-D4CC65A799C2}" name="STATUS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317B38-B0FB-45B7-B9C6-B8B86802F584}" name="Frecuencia_Entrega_SD" displayName="Frecuencia_Entrega_SD" ref="A5:C14" totalsRowShown="0" headerRowDxfId="29" dataDxfId="28">
  <autoFilter ref="A5:C14" xr:uid="{2F4835E3-1D77-414A-8072-0C07AF419E9D}"/>
  <tableColumns count="3">
    <tableColumn id="4" xr3:uid="{373E278A-075D-4171-AED0-953FC18FA83A}" name="BU" dataDxfId="27"/>
    <tableColumn id="1" xr3:uid="{C5C27E86-7F25-4117-BA32-6F641D788D55}" name="Entrega" dataDxfId="26"/>
    <tableColumn id="2" xr3:uid="{2122F891-EAB8-40BC-A991-C91CAC8BCB03}" name="Factor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FEC7DD-058F-4A1B-81F2-A9C787F6D770}" name="Filtros_SD" displayName="Filtros_SD" ref="Y3:AD12" totalsRowShown="0" headerRowDxfId="24" dataDxfId="23">
  <autoFilter ref="Y3:AD12" xr:uid="{05A06BB9-C4F5-427E-9CB1-22AAA0111B58}"/>
  <tableColumns count="6">
    <tableColumn id="1" xr3:uid="{C6305B7D-5C84-490F-8C3F-9895962D6BE1}" name="Servicios_RT" dataDxfId="22"/>
    <tableColumn id="2" xr3:uid="{17D575F4-3FB4-4B4E-B794-FAF97351F7DA}" name="Complejidad_RT" dataDxfId="21"/>
    <tableColumn id="3" xr3:uid="{C7EED504-D1A7-413F-9232-1EDC221B1582}" name="Tier_RT" dataDxfId="20"/>
    <tableColumn id="6" xr3:uid="{E98BDB81-E2D2-4AA8-BEB8-D0DB9CF0E345}" name="Frecuencia" dataDxfId="19"/>
    <tableColumn id="4" xr3:uid="{B106904E-E808-4518-A9A0-A8912E4A900C}" name="Entrega " dataDxfId="18"/>
    <tableColumn id="5" xr3:uid="{4730B9CF-DAF9-446E-9A44-54646DF1880B}" name="Factor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F4B9A2-60C9-43B3-BB77-9CD7B11EBCEE}" name="Tabla_ReconocimientoVta_SD" displayName="Tabla_ReconocimientoVta_SD" ref="AF3:AX223" totalsRowShown="0" headerRowBorderDxfId="16">
  <autoFilter ref="AF3:AX223" xr:uid="{EBB3BD20-9680-459A-A0A3-F5741E66A599}"/>
  <tableColumns count="19">
    <tableColumn id="1" xr3:uid="{53450515-D2F8-43D5-8260-DF8A3EC7E742}" name="Cliente" dataDxfId="15"/>
    <tableColumn id="2" xr3:uid="{C304B729-2388-42B4-95D2-8778A6A5C5C1}" name="Servicio Campo" dataDxfId="14"/>
    <tableColumn id="3" xr3:uid="{A455144B-442C-4014-BB22-EB312EE93EF7}" name="Categorías Homologada"/>
    <tableColumn id="4" xr3:uid="{C4D7AB88-301F-42F6-ADC8-B74E3FCFF3AE}" name="Periodicidad" dataDxfId="13"/>
    <tableColumn id="5" xr3:uid="{F78AE3A1-B8C0-48CC-B70F-CD9AEDB7956D}" name="Frecuencia"/>
    <tableColumn id="6" xr3:uid="{B1E26828-1B68-4C4F-95AD-3C3E377B8578}" name="Tier"/>
    <tableColumn id="7" xr3:uid="{B003D50C-A8C4-4EB4-8BE6-827BD52D8CDD}" name="Promedio de Ene-26" dataDxfId="12"/>
    <tableColumn id="8" xr3:uid="{0058245A-A5B7-497A-B936-E5E042B4B413}" name="Promedio de feb-26" dataDxfId="11"/>
    <tableColumn id="9" xr3:uid="{ECF8DD23-1B8C-43A3-9503-10C1ADC1D132}" name="Promedio de mar-26" dataDxfId="10"/>
    <tableColumn id="10" xr3:uid="{884D1978-5A7B-4E3D-89CB-5179C6464342}" name="Promedio de Abr-26" dataDxfId="9"/>
    <tableColumn id="11" xr3:uid="{70CB779D-1F54-4C46-9B16-E91346BF7942}" name="Promedio de may-26" dataDxfId="8"/>
    <tableColumn id="12" xr3:uid="{8F6EB98A-764C-42BB-8DF6-EE274111AB38}" name="Promedio de jun-26" dataDxfId="7"/>
    <tableColumn id="13" xr3:uid="{B3FC5968-EDE0-441C-B8B9-264830B18059}" name="Promedio de jul-26" dataDxfId="6"/>
    <tableColumn id="14" xr3:uid="{36447D7A-5A80-4425-8803-D7E43DFC8F97}" name="Promedio de Ago-26" dataDxfId="5"/>
    <tableColumn id="15" xr3:uid="{E9D332F5-C36C-4729-B544-A50727BD5068}" name="Promedio de Set-26" dataDxfId="4"/>
    <tableColumn id="16" xr3:uid="{E1DB6B1E-D313-493B-8520-A107A6E4096D}" name="Promedio de oct-26" dataDxfId="3"/>
    <tableColumn id="17" xr3:uid="{0A940476-527C-4783-9F83-F9976539775D}" name="Promedio de nov-26" dataDxfId="2"/>
    <tableColumn id="18" xr3:uid="{31F5C7AD-8E8B-4969-AB91-66EBF032D8B8}" name="Promedio de Dic-26" dataDxfId="1"/>
    <tableColumn id="19" xr3:uid="{F7806F0F-1032-4A9C-8D05-5C5544E3313F}" name="Promedio de 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F61D-4E2A-4716-9843-5E9A7EF2C7DE}">
  <dimension ref="A3:AX301"/>
  <sheetViews>
    <sheetView tabSelected="1" workbookViewId="0">
      <selection activeCell="B16" sqref="B16"/>
    </sheetView>
  </sheetViews>
  <sheetFormatPr baseColWidth="10" defaultRowHeight="14.5" x14ac:dyDescent="0.35"/>
  <cols>
    <col min="2" max="2" width="38.453125" bestFit="1" customWidth="1"/>
    <col min="4" max="4" width="11.54296875" bestFit="1" customWidth="1"/>
    <col min="6" max="6" width="17.54296875" customWidth="1"/>
    <col min="7" max="7" width="1.453125" customWidth="1"/>
    <col min="8" max="8" width="15.7265625" bestFit="1" customWidth="1"/>
    <col min="9" max="9" width="15.26953125" customWidth="1"/>
    <col min="11" max="11" width="21.81640625" customWidth="1"/>
    <col min="12" max="12" width="16.453125" customWidth="1"/>
    <col min="13" max="13" width="11.453125" customWidth="1"/>
    <col min="14" max="14" width="11" customWidth="1"/>
    <col min="15" max="15" width="15.1796875" customWidth="1"/>
    <col min="18" max="18" width="27.54296875" bestFit="1" customWidth="1"/>
    <col min="19" max="19" width="43.26953125" bestFit="1" customWidth="1"/>
    <col min="20" max="20" width="20.1796875" bestFit="1" customWidth="1"/>
    <col min="21" max="21" width="12.1796875" customWidth="1"/>
    <col min="22" max="22" width="58.1796875" bestFit="1" customWidth="1"/>
    <col min="23" max="23" width="10.1796875" bestFit="1" customWidth="1"/>
    <col min="24" max="24" width="18.453125" customWidth="1"/>
    <col min="25" max="25" width="22.453125" bestFit="1" customWidth="1"/>
    <col min="26" max="26" width="13.81640625" bestFit="1" customWidth="1"/>
    <col min="27" max="27" width="11.453125" customWidth="1"/>
    <col min="28" max="29" width="38.453125" bestFit="1" customWidth="1"/>
    <col min="30" max="30" width="8.453125" bestFit="1" customWidth="1"/>
    <col min="32" max="32" width="22.1796875" bestFit="1" customWidth="1"/>
    <col min="33" max="33" width="23" bestFit="1" customWidth="1"/>
    <col min="34" max="34" width="22.54296875" customWidth="1"/>
    <col min="35" max="35" width="13.453125" customWidth="1"/>
    <col min="36" max="36" width="12.1796875" customWidth="1"/>
    <col min="37" max="37" width="6.453125" bestFit="1" customWidth="1"/>
    <col min="38" max="38" width="19.453125" customWidth="1"/>
    <col min="39" max="39" width="19" customWidth="1"/>
    <col min="40" max="40" width="19.54296875" customWidth="1"/>
    <col min="41" max="41" width="19.1796875" customWidth="1"/>
    <col min="42" max="42" width="19.81640625" customWidth="1"/>
    <col min="43" max="43" width="19" customWidth="1"/>
    <col min="44" max="44" width="18.453125" customWidth="1"/>
    <col min="45" max="45" width="19.26953125" customWidth="1"/>
    <col min="46" max="46" width="19" customWidth="1"/>
    <col min="47" max="47" width="18.81640625" customWidth="1"/>
    <col min="48" max="48" width="19.26953125" customWidth="1"/>
    <col min="49" max="49" width="19.1796875" customWidth="1"/>
    <col min="50" max="50" width="17.7265625" customWidth="1"/>
  </cols>
  <sheetData>
    <row r="3" spans="1:50" x14ac:dyDescent="0.35">
      <c r="R3" t="s">
        <v>550</v>
      </c>
      <c r="V3" s="11" t="s">
        <v>549</v>
      </c>
      <c r="W3" s="11" t="s">
        <v>548</v>
      </c>
      <c r="Y3" t="s">
        <v>547</v>
      </c>
      <c r="Z3" t="s">
        <v>546</v>
      </c>
      <c r="AA3" t="s">
        <v>545</v>
      </c>
      <c r="AB3" t="s">
        <v>540</v>
      </c>
      <c r="AC3" t="s">
        <v>544</v>
      </c>
      <c r="AD3" t="s">
        <v>521</v>
      </c>
      <c r="AF3" t="s">
        <v>543</v>
      </c>
      <c r="AG3" t="s">
        <v>452</v>
      </c>
      <c r="AH3" t="s">
        <v>542</v>
      </c>
      <c r="AI3" t="s">
        <v>541</v>
      </c>
      <c r="AJ3" t="s">
        <v>540</v>
      </c>
      <c r="AK3" t="s">
        <v>451</v>
      </c>
      <c r="AL3" t="s">
        <v>539</v>
      </c>
      <c r="AM3" t="s">
        <v>538</v>
      </c>
      <c r="AN3" t="s">
        <v>537</v>
      </c>
      <c r="AO3" t="s">
        <v>536</v>
      </c>
      <c r="AP3" t="s">
        <v>535</v>
      </c>
      <c r="AQ3" t="s">
        <v>534</v>
      </c>
      <c r="AR3" t="s">
        <v>533</v>
      </c>
      <c r="AS3" t="s">
        <v>532</v>
      </c>
      <c r="AT3" t="s">
        <v>531</v>
      </c>
      <c r="AU3" t="s">
        <v>530</v>
      </c>
      <c r="AV3" t="s">
        <v>529</v>
      </c>
      <c r="AW3" t="s">
        <v>528</v>
      </c>
      <c r="AX3" t="s">
        <v>527</v>
      </c>
    </row>
    <row r="4" spans="1:50" x14ac:dyDescent="0.35">
      <c r="V4" s="2" t="s">
        <v>526</v>
      </c>
      <c r="W4" s="1" t="s">
        <v>0</v>
      </c>
      <c r="Y4" t="s">
        <v>88</v>
      </c>
      <c r="Z4" t="s">
        <v>0</v>
      </c>
      <c r="AA4" t="s">
        <v>172</v>
      </c>
      <c r="AB4" t="s">
        <v>82</v>
      </c>
      <c r="AC4" t="s">
        <v>508</v>
      </c>
      <c r="AD4">
        <f>+(1*1.15)</f>
        <v>1.1499999999999999</v>
      </c>
      <c r="AF4" s="5" t="s">
        <v>525</v>
      </c>
      <c r="AG4" s="4" t="s">
        <v>88</v>
      </c>
      <c r="AH4" t="s">
        <v>524</v>
      </c>
      <c r="AI4" s="4" t="s">
        <v>92</v>
      </c>
      <c r="AJ4" t="s">
        <v>91</v>
      </c>
      <c r="AK4" t="s">
        <v>81</v>
      </c>
      <c r="AL4" s="3">
        <v>17820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17820</v>
      </c>
    </row>
    <row r="5" spans="1:50" x14ac:dyDescent="0.35">
      <c r="A5" t="s">
        <v>523</v>
      </c>
      <c r="B5" s="10" t="s">
        <v>522</v>
      </c>
      <c r="C5" s="9" t="s">
        <v>521</v>
      </c>
      <c r="D5" s="9" t="s">
        <v>520</v>
      </c>
      <c r="F5" t="s">
        <v>519</v>
      </c>
      <c r="H5" t="s">
        <v>518</v>
      </c>
      <c r="J5" t="s">
        <v>517</v>
      </c>
      <c r="K5" t="s">
        <v>516</v>
      </c>
      <c r="L5" t="s">
        <v>515</v>
      </c>
      <c r="M5" t="s">
        <v>514</v>
      </c>
      <c r="N5" t="s">
        <v>513</v>
      </c>
      <c r="O5" t="s">
        <v>512</v>
      </c>
      <c r="P5" t="s">
        <v>511</v>
      </c>
      <c r="V5" s="2" t="s">
        <v>510</v>
      </c>
      <c r="W5" s="1" t="s">
        <v>2</v>
      </c>
      <c r="Y5" t="s">
        <v>93</v>
      </c>
      <c r="Z5" t="s">
        <v>2</v>
      </c>
      <c r="AA5" t="s">
        <v>95</v>
      </c>
      <c r="AB5" t="s">
        <v>498</v>
      </c>
      <c r="AC5" t="s">
        <v>503</v>
      </c>
      <c r="AD5">
        <f>+(1*1.15)</f>
        <v>1.1499999999999999</v>
      </c>
      <c r="AF5" s="4" t="s">
        <v>471</v>
      </c>
      <c r="AG5" s="4" t="s">
        <v>88</v>
      </c>
      <c r="AH5" t="s">
        <v>509</v>
      </c>
      <c r="AI5" s="4" t="s">
        <v>83</v>
      </c>
      <c r="AJ5" t="s">
        <v>82</v>
      </c>
      <c r="AK5" t="s">
        <v>95</v>
      </c>
      <c r="AL5" s="3"/>
      <c r="AM5" s="3">
        <v>3194.0340000000001</v>
      </c>
      <c r="AN5" s="3">
        <v>1597.0170000000001</v>
      </c>
      <c r="AO5" s="3">
        <v>1597.0170000000001</v>
      </c>
      <c r="AP5" s="3">
        <v>1597.0170000000001</v>
      </c>
      <c r="AQ5" s="3">
        <v>1597.0170000000001</v>
      </c>
      <c r="AR5" s="3">
        <v>1597.0170000000001</v>
      </c>
      <c r="AS5" s="3">
        <v>1597.0170000000001</v>
      </c>
      <c r="AT5" s="3">
        <v>1597.0170000000001</v>
      </c>
      <c r="AU5" s="3">
        <v>1597.0170000000001</v>
      </c>
      <c r="AV5" s="3">
        <v>1597.0170000000001</v>
      </c>
      <c r="AW5" s="3">
        <v>1597.0170000000001</v>
      </c>
      <c r="AX5" s="3">
        <v>19164.204000000002</v>
      </c>
    </row>
    <row r="6" spans="1:50" x14ac:dyDescent="0.35">
      <c r="A6" t="s">
        <v>469</v>
      </c>
      <c r="B6" t="s">
        <v>508</v>
      </c>
      <c r="C6">
        <f>+(1*1.15)</f>
        <v>1.1499999999999999</v>
      </c>
      <c r="F6" t="s">
        <v>172</v>
      </c>
      <c r="H6" t="s">
        <v>507</v>
      </c>
      <c r="J6">
        <v>1000163</v>
      </c>
      <c r="K6" t="s">
        <v>506</v>
      </c>
      <c r="L6" t="s">
        <v>404</v>
      </c>
      <c r="M6" t="s">
        <v>403</v>
      </c>
      <c r="N6" t="s">
        <v>403</v>
      </c>
      <c r="O6" t="s">
        <v>402</v>
      </c>
      <c r="P6" t="s">
        <v>401</v>
      </c>
      <c r="V6" s="2" t="s">
        <v>505</v>
      </c>
      <c r="W6" s="1" t="s">
        <v>0</v>
      </c>
      <c r="Y6" t="s">
        <v>146</v>
      </c>
      <c r="Z6" t="s">
        <v>6</v>
      </c>
      <c r="AA6" t="s">
        <v>81</v>
      </c>
      <c r="AB6" t="s">
        <v>491</v>
      </c>
      <c r="AC6" t="s">
        <v>498</v>
      </c>
      <c r="AD6">
        <f>+(2*0.8)</f>
        <v>1.6</v>
      </c>
      <c r="AF6" s="4" t="s">
        <v>471</v>
      </c>
      <c r="AG6" s="4" t="s">
        <v>88</v>
      </c>
      <c r="AH6" t="s">
        <v>504</v>
      </c>
      <c r="AI6" s="4" t="s">
        <v>83</v>
      </c>
      <c r="AJ6" t="s">
        <v>82</v>
      </c>
      <c r="AK6" t="s">
        <v>95</v>
      </c>
      <c r="AL6" s="3"/>
      <c r="AM6" s="3">
        <v>6943.22</v>
      </c>
      <c r="AN6" s="3">
        <v>3471.61</v>
      </c>
      <c r="AO6" s="3">
        <v>3471.61</v>
      </c>
      <c r="AP6" s="3">
        <v>3471.61</v>
      </c>
      <c r="AQ6" s="3">
        <v>3471.61</v>
      </c>
      <c r="AR6" s="3">
        <v>3471.61</v>
      </c>
      <c r="AS6" s="3">
        <v>3471.61</v>
      </c>
      <c r="AT6" s="3">
        <v>3471.61</v>
      </c>
      <c r="AU6" s="3">
        <v>3471.61</v>
      </c>
      <c r="AV6" s="3">
        <v>3471.61</v>
      </c>
      <c r="AW6" s="3">
        <v>3471.61</v>
      </c>
      <c r="AX6" s="3">
        <v>41659.32</v>
      </c>
    </row>
    <row r="7" spans="1:50" x14ac:dyDescent="0.35">
      <c r="A7" t="s">
        <v>469</v>
      </c>
      <c r="B7" t="s">
        <v>503</v>
      </c>
      <c r="C7">
        <f>+(1*1.15)</f>
        <v>1.1499999999999999</v>
      </c>
      <c r="F7" t="s">
        <v>95</v>
      </c>
      <c r="H7" t="s">
        <v>502</v>
      </c>
      <c r="J7">
        <v>1000164</v>
      </c>
      <c r="K7" t="s">
        <v>501</v>
      </c>
      <c r="L7" t="s">
        <v>404</v>
      </c>
      <c r="M7" t="s">
        <v>403</v>
      </c>
      <c r="N7" t="s">
        <v>403</v>
      </c>
      <c r="O7" t="s">
        <v>402</v>
      </c>
      <c r="P7" t="s">
        <v>401</v>
      </c>
      <c r="V7" s="2" t="s">
        <v>500</v>
      </c>
      <c r="W7" s="1" t="s">
        <v>0</v>
      </c>
      <c r="Y7" t="s">
        <v>173</v>
      </c>
      <c r="AB7" t="s">
        <v>487</v>
      </c>
      <c r="AC7" t="s">
        <v>491</v>
      </c>
      <c r="AD7">
        <f>+(3*0.7)</f>
        <v>2.0999999999999996</v>
      </c>
      <c r="AF7" s="4" t="s">
        <v>471</v>
      </c>
      <c r="AG7" s="4" t="s">
        <v>88</v>
      </c>
      <c r="AH7" t="s">
        <v>499</v>
      </c>
      <c r="AI7" s="4" t="s">
        <v>92</v>
      </c>
      <c r="AJ7" t="s">
        <v>91</v>
      </c>
      <c r="AK7" t="s">
        <v>95</v>
      </c>
      <c r="AL7" s="3">
        <v>2612.5</v>
      </c>
      <c r="AM7" s="3"/>
      <c r="AN7" s="3">
        <v>1100</v>
      </c>
      <c r="AO7" s="3"/>
      <c r="AP7" s="3"/>
      <c r="AQ7" s="3"/>
      <c r="AR7" s="3"/>
      <c r="AS7" s="3"/>
      <c r="AT7" s="3"/>
      <c r="AU7" s="3"/>
      <c r="AV7" s="3"/>
      <c r="AW7" s="3"/>
      <c r="AX7" s="3">
        <v>1856.25</v>
      </c>
    </row>
    <row r="8" spans="1:50" x14ac:dyDescent="0.35">
      <c r="A8" t="s">
        <v>469</v>
      </c>
      <c r="B8" t="s">
        <v>498</v>
      </c>
      <c r="C8">
        <f>+(2*0.8)</f>
        <v>1.6</v>
      </c>
      <c r="F8" t="s">
        <v>81</v>
      </c>
      <c r="H8" t="s">
        <v>497</v>
      </c>
      <c r="J8">
        <v>1000169</v>
      </c>
      <c r="K8" t="s">
        <v>496</v>
      </c>
      <c r="L8" t="s">
        <v>404</v>
      </c>
      <c r="M8" t="s">
        <v>403</v>
      </c>
      <c r="N8" t="s">
        <v>403</v>
      </c>
      <c r="O8" t="s">
        <v>402</v>
      </c>
      <c r="P8" t="s">
        <v>401</v>
      </c>
      <c r="V8" s="2" t="s">
        <v>495</v>
      </c>
      <c r="W8" s="1" t="s">
        <v>6</v>
      </c>
      <c r="Y8" t="s">
        <v>494</v>
      </c>
      <c r="AB8" t="s">
        <v>493</v>
      </c>
      <c r="AC8" t="s">
        <v>487</v>
      </c>
      <c r="AD8">
        <f>+(6*0.65)</f>
        <v>3.9000000000000004</v>
      </c>
      <c r="AF8" s="4" t="s">
        <v>471</v>
      </c>
      <c r="AG8" s="4" t="s">
        <v>88</v>
      </c>
      <c r="AH8" t="s">
        <v>492</v>
      </c>
      <c r="AI8" s="4" t="s">
        <v>92</v>
      </c>
      <c r="AJ8" t="s">
        <v>91</v>
      </c>
      <c r="AK8" t="s">
        <v>95</v>
      </c>
      <c r="AL8" s="3">
        <v>1567.5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1567.5</v>
      </c>
    </row>
    <row r="9" spans="1:50" x14ac:dyDescent="0.35">
      <c r="A9" t="s">
        <v>469</v>
      </c>
      <c r="B9" t="s">
        <v>491</v>
      </c>
      <c r="C9">
        <f>+(3*0.7)</f>
        <v>2.0999999999999996</v>
      </c>
      <c r="J9">
        <v>1000171</v>
      </c>
      <c r="K9" t="s">
        <v>490</v>
      </c>
      <c r="L9" t="s">
        <v>404</v>
      </c>
      <c r="M9" t="s">
        <v>403</v>
      </c>
      <c r="N9" t="s">
        <v>403</v>
      </c>
      <c r="O9" t="s">
        <v>402</v>
      </c>
      <c r="P9" t="s">
        <v>401</v>
      </c>
      <c r="V9" s="2" t="s">
        <v>489</v>
      </c>
      <c r="W9" s="1" t="s">
        <v>2</v>
      </c>
      <c r="Y9" t="s">
        <v>488</v>
      </c>
      <c r="AB9" t="s">
        <v>468</v>
      </c>
      <c r="AC9" t="s">
        <v>482</v>
      </c>
      <c r="AD9">
        <f>+(6*0.5)</f>
        <v>3</v>
      </c>
      <c r="AF9" s="4" t="s">
        <v>471</v>
      </c>
      <c r="AG9" s="4" t="s">
        <v>88</v>
      </c>
      <c r="AH9" t="s">
        <v>470</v>
      </c>
      <c r="AI9" s="4" t="s">
        <v>83</v>
      </c>
      <c r="AJ9" t="s">
        <v>82</v>
      </c>
      <c r="AK9" t="s">
        <v>95</v>
      </c>
      <c r="AL9" s="3"/>
      <c r="AM9" s="3">
        <v>3028.1</v>
      </c>
      <c r="AN9" s="3">
        <v>1514.05</v>
      </c>
      <c r="AO9" s="3">
        <v>1514.05</v>
      </c>
      <c r="AP9" s="3">
        <v>1514.05</v>
      </c>
      <c r="AQ9" s="3">
        <v>1514.05</v>
      </c>
      <c r="AR9" s="3">
        <v>1514.05</v>
      </c>
      <c r="AS9" s="3">
        <v>1514.05</v>
      </c>
      <c r="AT9" s="3">
        <v>1514.05</v>
      </c>
      <c r="AU9" s="3">
        <v>1514.05</v>
      </c>
      <c r="AV9" s="3">
        <v>1514.05</v>
      </c>
      <c r="AW9" s="3">
        <v>1514.05</v>
      </c>
      <c r="AX9" s="3">
        <v>18168.599999999995</v>
      </c>
    </row>
    <row r="10" spans="1:50" x14ac:dyDescent="0.35">
      <c r="A10" t="s">
        <v>469</v>
      </c>
      <c r="B10" t="s">
        <v>487</v>
      </c>
      <c r="C10">
        <f>+(6*0.65)</f>
        <v>3.9000000000000004</v>
      </c>
      <c r="J10">
        <v>1000173</v>
      </c>
      <c r="K10" t="s">
        <v>486</v>
      </c>
      <c r="L10" t="s">
        <v>404</v>
      </c>
      <c r="M10" t="s">
        <v>403</v>
      </c>
      <c r="N10" t="s">
        <v>403</v>
      </c>
      <c r="O10" t="s">
        <v>402</v>
      </c>
      <c r="P10" t="s">
        <v>401</v>
      </c>
      <c r="V10" s="2" t="s">
        <v>485</v>
      </c>
      <c r="W10" s="1" t="s">
        <v>2</v>
      </c>
      <c r="Y10" t="s">
        <v>484</v>
      </c>
      <c r="AC10" t="s">
        <v>478</v>
      </c>
      <c r="AD10">
        <f>+(6*0.45)</f>
        <v>2.7</v>
      </c>
      <c r="AF10" s="4" t="s">
        <v>471</v>
      </c>
      <c r="AG10" s="4" t="s">
        <v>88</v>
      </c>
      <c r="AH10" t="s">
        <v>483</v>
      </c>
      <c r="AI10" s="4" t="s">
        <v>83</v>
      </c>
      <c r="AJ10" t="s">
        <v>82</v>
      </c>
      <c r="AK10" t="s">
        <v>95</v>
      </c>
      <c r="AL10" s="3"/>
      <c r="AM10" s="3">
        <v>6250</v>
      </c>
      <c r="AN10" s="3">
        <v>3125</v>
      </c>
      <c r="AO10" s="3">
        <v>3125</v>
      </c>
      <c r="AP10" s="3">
        <v>3125</v>
      </c>
      <c r="AQ10" s="3">
        <v>3125</v>
      </c>
      <c r="AR10" s="3">
        <v>3125</v>
      </c>
      <c r="AS10" s="3">
        <v>3125</v>
      </c>
      <c r="AT10" s="3">
        <v>3125</v>
      </c>
      <c r="AU10" s="3">
        <v>3125</v>
      </c>
      <c r="AV10" s="3">
        <v>3125</v>
      </c>
      <c r="AW10" s="3">
        <v>3125</v>
      </c>
      <c r="AX10" s="3">
        <v>37500</v>
      </c>
    </row>
    <row r="11" spans="1:50" x14ac:dyDescent="0.35">
      <c r="A11" t="s">
        <v>469</v>
      </c>
      <c r="B11" t="s">
        <v>482</v>
      </c>
      <c r="C11">
        <f>+(6*0.5)</f>
        <v>3</v>
      </c>
      <c r="J11">
        <v>1000174</v>
      </c>
      <c r="K11" t="s">
        <v>481</v>
      </c>
      <c r="L11" t="s">
        <v>404</v>
      </c>
      <c r="M11" t="s">
        <v>403</v>
      </c>
      <c r="N11" t="s">
        <v>403</v>
      </c>
      <c r="O11" t="s">
        <v>402</v>
      </c>
      <c r="P11" t="s">
        <v>401</v>
      </c>
      <c r="V11" s="2" t="s">
        <v>480</v>
      </c>
      <c r="W11" s="1" t="s">
        <v>0</v>
      </c>
      <c r="AC11" t="s">
        <v>474</v>
      </c>
      <c r="AD11">
        <f>+(6*0.25)</f>
        <v>1.5</v>
      </c>
      <c r="AF11" s="4" t="s">
        <v>471</v>
      </c>
      <c r="AG11" s="4" t="s">
        <v>173</v>
      </c>
      <c r="AH11" t="s">
        <v>479</v>
      </c>
      <c r="AI11" s="4" t="s">
        <v>83</v>
      </c>
      <c r="AJ11" t="s">
        <v>91</v>
      </c>
      <c r="AK11" t="s">
        <v>95</v>
      </c>
      <c r="AL11" s="3"/>
      <c r="AM11" s="3"/>
      <c r="AN11" s="3"/>
      <c r="AO11" s="3"/>
      <c r="AP11" s="3"/>
      <c r="AQ11" s="3">
        <v>9737.5</v>
      </c>
      <c r="AR11" s="3"/>
      <c r="AS11" s="3"/>
      <c r="AT11" s="3"/>
      <c r="AU11" s="3"/>
      <c r="AV11" s="3"/>
      <c r="AW11" s="3"/>
      <c r="AX11" s="3">
        <v>9737.5</v>
      </c>
    </row>
    <row r="12" spans="1:50" x14ac:dyDescent="0.35">
      <c r="A12" t="s">
        <v>469</v>
      </c>
      <c r="B12" t="s">
        <v>478</v>
      </c>
      <c r="C12">
        <f>+(6*0.45)</f>
        <v>2.7</v>
      </c>
      <c r="J12">
        <v>16780</v>
      </c>
      <c r="K12" t="s">
        <v>477</v>
      </c>
      <c r="L12" t="s">
        <v>404</v>
      </c>
      <c r="M12" t="s">
        <v>403</v>
      </c>
      <c r="N12" t="s">
        <v>403</v>
      </c>
      <c r="O12" t="s">
        <v>434</v>
      </c>
      <c r="P12" t="s">
        <v>401</v>
      </c>
      <c r="V12" s="2" t="s">
        <v>476</v>
      </c>
      <c r="W12" s="1" t="s">
        <v>2</v>
      </c>
      <c r="AC12" t="s">
        <v>468</v>
      </c>
      <c r="AD12" s="8">
        <v>3</v>
      </c>
      <c r="AF12" s="4" t="s">
        <v>471</v>
      </c>
      <c r="AG12" s="4" t="s">
        <v>173</v>
      </c>
      <c r="AH12" t="s">
        <v>475</v>
      </c>
      <c r="AI12" s="4" t="s">
        <v>83</v>
      </c>
      <c r="AJ12" t="s">
        <v>91</v>
      </c>
      <c r="AK12" t="s">
        <v>95</v>
      </c>
      <c r="AL12" s="3"/>
      <c r="AM12" s="3"/>
      <c r="AN12" s="3"/>
      <c r="AO12" s="3"/>
      <c r="AP12" s="3"/>
      <c r="AQ12" s="3">
        <v>9737.5</v>
      </c>
      <c r="AR12" s="3"/>
      <c r="AS12" s="3"/>
      <c r="AT12" s="3"/>
      <c r="AU12" s="3"/>
      <c r="AV12" s="3"/>
      <c r="AW12" s="3"/>
      <c r="AX12" s="3">
        <v>9737.5</v>
      </c>
    </row>
    <row r="13" spans="1:50" x14ac:dyDescent="0.35">
      <c r="A13" t="s">
        <v>469</v>
      </c>
      <c r="B13" t="s">
        <v>474</v>
      </c>
      <c r="C13">
        <f>+(6*0.25)</f>
        <v>1.5</v>
      </c>
      <c r="J13">
        <v>1000176</v>
      </c>
      <c r="K13" t="s">
        <v>473</v>
      </c>
      <c r="L13" t="s">
        <v>404</v>
      </c>
      <c r="M13" t="s">
        <v>403</v>
      </c>
      <c r="N13" t="s">
        <v>403</v>
      </c>
      <c r="O13" t="s">
        <v>402</v>
      </c>
      <c r="P13" t="s">
        <v>401</v>
      </c>
      <c r="V13" s="2" t="s">
        <v>472</v>
      </c>
      <c r="W13" s="1" t="s">
        <v>6</v>
      </c>
      <c r="AF13" s="5" t="s">
        <v>471</v>
      </c>
      <c r="AG13" s="4" t="s">
        <v>173</v>
      </c>
      <c r="AH13" t="s">
        <v>470</v>
      </c>
      <c r="AI13" s="4" t="s">
        <v>83</v>
      </c>
      <c r="AJ13" t="s">
        <v>91</v>
      </c>
      <c r="AK13" t="s">
        <v>95</v>
      </c>
      <c r="AL13" s="3"/>
      <c r="AM13" s="3"/>
      <c r="AN13" s="3"/>
      <c r="AO13" s="3"/>
      <c r="AP13" s="3"/>
      <c r="AQ13" s="3">
        <v>9225</v>
      </c>
      <c r="AR13" s="3"/>
      <c r="AS13" s="3"/>
      <c r="AT13" s="3"/>
      <c r="AU13" s="3"/>
      <c r="AV13" s="3"/>
      <c r="AW13" s="3"/>
      <c r="AX13" s="3">
        <v>9225</v>
      </c>
    </row>
    <row r="14" spans="1:50" x14ac:dyDescent="0.35">
      <c r="A14" t="s">
        <v>469</v>
      </c>
      <c r="B14" t="s">
        <v>468</v>
      </c>
      <c r="C14" s="8">
        <v>3</v>
      </c>
      <c r="J14">
        <v>1000177</v>
      </c>
      <c r="K14" t="s">
        <v>467</v>
      </c>
      <c r="L14" t="s">
        <v>404</v>
      </c>
      <c r="M14" t="s">
        <v>403</v>
      </c>
      <c r="N14" t="s">
        <v>403</v>
      </c>
      <c r="O14" t="s">
        <v>402</v>
      </c>
      <c r="P14" t="s">
        <v>401</v>
      </c>
      <c r="V14" s="2" t="s">
        <v>466</v>
      </c>
      <c r="W14" s="1" t="s">
        <v>2</v>
      </c>
      <c r="AF14" s="4" t="s">
        <v>391</v>
      </c>
      <c r="AG14" s="4" t="s">
        <v>88</v>
      </c>
      <c r="AH14" t="s">
        <v>397</v>
      </c>
      <c r="AI14" s="4" t="s">
        <v>83</v>
      </c>
      <c r="AJ14" t="s">
        <v>101</v>
      </c>
      <c r="AK14" t="s">
        <v>172</v>
      </c>
      <c r="AL14" s="3">
        <v>8692.17</v>
      </c>
      <c r="AM14" s="3">
        <v>8692.17</v>
      </c>
      <c r="AN14" s="3">
        <v>8692.17</v>
      </c>
      <c r="AO14" s="3">
        <v>8692.17</v>
      </c>
      <c r="AP14" s="3">
        <v>8692.17</v>
      </c>
      <c r="AQ14" s="3">
        <v>8692.17</v>
      </c>
      <c r="AR14" s="3">
        <v>8692.17</v>
      </c>
      <c r="AS14" s="3">
        <v>8692.17</v>
      </c>
      <c r="AT14" s="3">
        <v>8692.17</v>
      </c>
      <c r="AU14" s="3">
        <v>8692.17</v>
      </c>
      <c r="AV14" s="3">
        <v>8692.17</v>
      </c>
      <c r="AW14" s="3">
        <v>8692.17</v>
      </c>
      <c r="AX14" s="3">
        <v>104306.04</v>
      </c>
    </row>
    <row r="15" spans="1:50" x14ac:dyDescent="0.35">
      <c r="J15">
        <v>1000178</v>
      </c>
      <c r="K15" t="s">
        <v>465</v>
      </c>
      <c r="L15" t="s">
        <v>404</v>
      </c>
      <c r="M15" t="s">
        <v>403</v>
      </c>
      <c r="N15" t="s">
        <v>403</v>
      </c>
      <c r="O15" t="s">
        <v>402</v>
      </c>
      <c r="P15" t="s">
        <v>401</v>
      </c>
      <c r="V15" s="2" t="s">
        <v>464</v>
      </c>
      <c r="W15" s="1" t="s">
        <v>0</v>
      </c>
      <c r="AF15" s="4" t="s">
        <v>391</v>
      </c>
      <c r="AG15" s="4" t="s">
        <v>88</v>
      </c>
      <c r="AH15" t="s">
        <v>278</v>
      </c>
      <c r="AI15" s="4" t="s">
        <v>83</v>
      </c>
      <c r="AJ15" t="s">
        <v>82</v>
      </c>
      <c r="AK15" t="s">
        <v>172</v>
      </c>
      <c r="AL15" s="3">
        <v>3965.5</v>
      </c>
      <c r="AM15" s="3">
        <v>3965.5</v>
      </c>
      <c r="AN15" s="3">
        <v>3965.5</v>
      </c>
      <c r="AO15" s="3">
        <v>3965.5</v>
      </c>
      <c r="AP15" s="3">
        <v>3965.5</v>
      </c>
      <c r="AQ15" s="3">
        <v>3965.5</v>
      </c>
      <c r="AR15" s="3">
        <v>3965.5</v>
      </c>
      <c r="AS15" s="3">
        <v>3965.5</v>
      </c>
      <c r="AT15" s="3">
        <v>3965.5</v>
      </c>
      <c r="AU15" s="3">
        <v>3965.5</v>
      </c>
      <c r="AV15" s="3">
        <v>3965.5</v>
      </c>
      <c r="AW15" s="3">
        <v>3965.5</v>
      </c>
      <c r="AX15" s="3">
        <v>47586</v>
      </c>
    </row>
    <row r="16" spans="1:50" x14ac:dyDescent="0.35">
      <c r="J16">
        <v>1000179</v>
      </c>
      <c r="K16" t="s">
        <v>463</v>
      </c>
      <c r="L16" t="s">
        <v>404</v>
      </c>
      <c r="M16" t="s">
        <v>403</v>
      </c>
      <c r="N16" t="s">
        <v>403</v>
      </c>
      <c r="O16" t="s">
        <v>402</v>
      </c>
      <c r="P16" t="s">
        <v>401</v>
      </c>
      <c r="V16" s="2" t="s">
        <v>462</v>
      </c>
      <c r="W16" s="1" t="s">
        <v>2</v>
      </c>
      <c r="AF16" s="4" t="s">
        <v>391</v>
      </c>
      <c r="AG16" s="4" t="s">
        <v>88</v>
      </c>
      <c r="AH16" t="s">
        <v>461</v>
      </c>
      <c r="AI16" s="4" t="s">
        <v>83</v>
      </c>
      <c r="AJ16" t="s">
        <v>82</v>
      </c>
      <c r="AK16" t="s">
        <v>172</v>
      </c>
      <c r="AL16" s="3">
        <v>1682.5050000000001</v>
      </c>
      <c r="AM16" s="3">
        <v>1682.5050000000001</v>
      </c>
      <c r="AN16" s="3">
        <v>1682.5050000000001</v>
      </c>
      <c r="AO16" s="3">
        <v>1682.5050000000001</v>
      </c>
      <c r="AP16" s="3">
        <v>1682.5050000000001</v>
      </c>
      <c r="AQ16" s="3">
        <v>1682.5050000000001</v>
      </c>
      <c r="AR16" s="3">
        <v>1682.5050000000001</v>
      </c>
      <c r="AS16" s="3">
        <v>1682.5050000000001</v>
      </c>
      <c r="AT16" s="3">
        <v>1682.5050000000001</v>
      </c>
      <c r="AU16" s="3">
        <v>1682.5050000000001</v>
      </c>
      <c r="AV16" s="3">
        <v>1682.5050000000001</v>
      </c>
      <c r="AW16" s="3">
        <v>1682.5050000000001</v>
      </c>
      <c r="AX16" s="3">
        <v>20190.060000000009</v>
      </c>
    </row>
    <row r="17" spans="2:50" x14ac:dyDescent="0.35">
      <c r="J17">
        <v>1000181</v>
      </c>
      <c r="K17" t="s">
        <v>460</v>
      </c>
      <c r="L17" t="s">
        <v>404</v>
      </c>
      <c r="M17" t="s">
        <v>403</v>
      </c>
      <c r="N17" t="s">
        <v>403</v>
      </c>
      <c r="O17" t="s">
        <v>402</v>
      </c>
      <c r="P17" t="s">
        <v>401</v>
      </c>
      <c r="V17" s="2" t="s">
        <v>459</v>
      </c>
      <c r="W17" s="1" t="s">
        <v>6</v>
      </c>
      <c r="AF17" s="4" t="s">
        <v>391</v>
      </c>
      <c r="AG17" s="4" t="s">
        <v>88</v>
      </c>
      <c r="AH17" t="s">
        <v>327</v>
      </c>
      <c r="AI17" s="4" t="s">
        <v>83</v>
      </c>
      <c r="AJ17" t="s">
        <v>101</v>
      </c>
      <c r="AK17" t="s">
        <v>172</v>
      </c>
      <c r="AL17" s="3">
        <v>8692.17</v>
      </c>
      <c r="AM17" s="3">
        <v>8692.17</v>
      </c>
      <c r="AN17" s="3">
        <v>8692.17</v>
      </c>
      <c r="AO17" s="3">
        <v>8692.17</v>
      </c>
      <c r="AP17" s="3">
        <v>8692.17</v>
      </c>
      <c r="AQ17" s="3">
        <v>8692.17</v>
      </c>
      <c r="AR17" s="3">
        <v>8692.17</v>
      </c>
      <c r="AS17" s="3">
        <v>8692.17</v>
      </c>
      <c r="AT17" s="3">
        <v>8692.17</v>
      </c>
      <c r="AU17" s="3">
        <v>8692.17</v>
      </c>
      <c r="AV17" s="3">
        <v>8692.17</v>
      </c>
      <c r="AW17" s="3">
        <v>8692.17</v>
      </c>
      <c r="AX17" s="3">
        <v>104306.04</v>
      </c>
    </row>
    <row r="18" spans="2:50" x14ac:dyDescent="0.35">
      <c r="J18">
        <v>57188</v>
      </c>
      <c r="K18" t="s">
        <v>458</v>
      </c>
      <c r="L18" t="s">
        <v>404</v>
      </c>
      <c r="M18" t="s">
        <v>403</v>
      </c>
      <c r="N18" t="s">
        <v>403</v>
      </c>
      <c r="O18" t="s">
        <v>440</v>
      </c>
      <c r="P18" t="s">
        <v>401</v>
      </c>
      <c r="V18" s="2" t="s">
        <v>457</v>
      </c>
      <c r="W18" s="1" t="s">
        <v>0</v>
      </c>
      <c r="AF18" s="4" t="s">
        <v>391</v>
      </c>
      <c r="AG18" s="4" t="s">
        <v>88</v>
      </c>
      <c r="AH18" t="s">
        <v>167</v>
      </c>
      <c r="AI18" s="4" t="s">
        <v>83</v>
      </c>
      <c r="AJ18" t="s">
        <v>101</v>
      </c>
      <c r="AK18" t="s">
        <v>172</v>
      </c>
      <c r="AL18" s="3">
        <v>8692.17</v>
      </c>
      <c r="AM18" s="3">
        <v>8692.17</v>
      </c>
      <c r="AN18" s="3">
        <v>8692.17</v>
      </c>
      <c r="AO18" s="3">
        <v>8692.17</v>
      </c>
      <c r="AP18" s="3">
        <v>8692.17</v>
      </c>
      <c r="AQ18" s="3">
        <v>8692.17</v>
      </c>
      <c r="AR18" s="3">
        <v>8692.17</v>
      </c>
      <c r="AS18" s="3">
        <v>8692.17</v>
      </c>
      <c r="AT18" s="3">
        <v>8692.17</v>
      </c>
      <c r="AU18" s="3">
        <v>8692.17</v>
      </c>
      <c r="AV18" s="3">
        <v>8692.17</v>
      </c>
      <c r="AW18" s="3">
        <v>8692.17</v>
      </c>
      <c r="AX18" s="3">
        <v>104306.04</v>
      </c>
    </row>
    <row r="19" spans="2:50" x14ac:dyDescent="0.35">
      <c r="J19">
        <v>1000196</v>
      </c>
      <c r="K19" t="s">
        <v>456</v>
      </c>
      <c r="L19" t="s">
        <v>404</v>
      </c>
      <c r="M19" t="s">
        <v>403</v>
      </c>
      <c r="N19" t="s">
        <v>403</v>
      </c>
      <c r="O19" t="s">
        <v>402</v>
      </c>
      <c r="P19" t="s">
        <v>401</v>
      </c>
      <c r="V19" s="2" t="s">
        <v>455</v>
      </c>
      <c r="W19" s="1" t="s">
        <v>2</v>
      </c>
      <c r="AF19" s="4" t="s">
        <v>391</v>
      </c>
      <c r="AG19" s="4" t="s">
        <v>88</v>
      </c>
      <c r="AH19" t="s">
        <v>165</v>
      </c>
      <c r="AI19" s="4" t="s">
        <v>83</v>
      </c>
      <c r="AJ19" t="s">
        <v>82</v>
      </c>
      <c r="AK19" t="s">
        <v>172</v>
      </c>
      <c r="AL19" s="3">
        <v>6518.87</v>
      </c>
      <c r="AM19" s="3">
        <v>6518.87</v>
      </c>
      <c r="AN19" s="3">
        <v>6518.87</v>
      </c>
      <c r="AO19" s="3">
        <v>6518.87</v>
      </c>
      <c r="AP19" s="3">
        <v>6518.87</v>
      </c>
      <c r="AQ19" s="3">
        <v>6518.87</v>
      </c>
      <c r="AR19" s="3">
        <v>6518.87</v>
      </c>
      <c r="AS19" s="3">
        <v>6518.87</v>
      </c>
      <c r="AT19" s="3">
        <v>6518.87</v>
      </c>
      <c r="AU19" s="3">
        <v>6518.87</v>
      </c>
      <c r="AV19" s="3">
        <v>6518.87</v>
      </c>
      <c r="AW19" s="3">
        <v>6518.87</v>
      </c>
      <c r="AX19" s="3">
        <v>78226.44</v>
      </c>
    </row>
    <row r="20" spans="2:50" x14ac:dyDescent="0.35">
      <c r="J20">
        <v>1000165</v>
      </c>
      <c r="K20" t="s">
        <v>454</v>
      </c>
      <c r="L20" t="s">
        <v>404</v>
      </c>
      <c r="M20" t="s">
        <v>403</v>
      </c>
      <c r="N20" t="s">
        <v>403</v>
      </c>
      <c r="O20" t="s">
        <v>402</v>
      </c>
      <c r="P20" t="s">
        <v>401</v>
      </c>
      <c r="V20" s="2" t="s">
        <v>453</v>
      </c>
      <c r="W20" s="1" t="s">
        <v>2</v>
      </c>
      <c r="AF20" s="4" t="s">
        <v>391</v>
      </c>
      <c r="AG20" s="4" t="s">
        <v>88</v>
      </c>
      <c r="AH20" t="s">
        <v>109</v>
      </c>
      <c r="AI20" s="4" t="s">
        <v>83</v>
      </c>
      <c r="AJ20" t="s">
        <v>101</v>
      </c>
      <c r="AK20" t="s">
        <v>172</v>
      </c>
      <c r="AL20" s="3">
        <v>9517.17</v>
      </c>
      <c r="AM20" s="3">
        <v>9517.17</v>
      </c>
      <c r="AN20" s="3">
        <v>9517.17</v>
      </c>
      <c r="AO20" s="3">
        <v>9517.17</v>
      </c>
      <c r="AP20" s="3">
        <v>9517.17</v>
      </c>
      <c r="AQ20" s="3">
        <v>9517.17</v>
      </c>
      <c r="AR20" s="3">
        <v>9517.17</v>
      </c>
      <c r="AS20" s="3">
        <v>9517.17</v>
      </c>
      <c r="AT20" s="3">
        <v>9517.17</v>
      </c>
      <c r="AU20" s="3">
        <v>9517.17</v>
      </c>
      <c r="AV20" s="3">
        <v>9517.17</v>
      </c>
      <c r="AW20" s="3">
        <v>9517.17</v>
      </c>
      <c r="AX20" s="3">
        <v>114206.04</v>
      </c>
    </row>
    <row r="21" spans="2:50" x14ac:dyDescent="0.35">
      <c r="B21" s="7" t="s">
        <v>452</v>
      </c>
      <c r="C21" s="6" t="s">
        <v>451</v>
      </c>
      <c r="D21" s="6" t="s">
        <v>450</v>
      </c>
      <c r="J21">
        <v>1000186</v>
      </c>
      <c r="K21" t="s">
        <v>449</v>
      </c>
      <c r="L21" t="s">
        <v>404</v>
      </c>
      <c r="M21" t="s">
        <v>403</v>
      </c>
      <c r="N21" t="s">
        <v>403</v>
      </c>
      <c r="O21" t="s">
        <v>402</v>
      </c>
      <c r="P21" t="s">
        <v>401</v>
      </c>
      <c r="V21" s="2" t="s">
        <v>448</v>
      </c>
      <c r="W21" s="1" t="s">
        <v>2</v>
      </c>
      <c r="AF21" s="4" t="s">
        <v>391</v>
      </c>
      <c r="AG21" s="4" t="s">
        <v>88</v>
      </c>
      <c r="AH21" t="s">
        <v>447</v>
      </c>
      <c r="AI21" s="4" t="s">
        <v>83</v>
      </c>
      <c r="AJ21" t="s">
        <v>82</v>
      </c>
      <c r="AK21" t="s">
        <v>172</v>
      </c>
      <c r="AL21" s="3">
        <v>1444.0600000000002</v>
      </c>
      <c r="AM21" s="3">
        <v>1444.0600000000002</v>
      </c>
      <c r="AN21" s="3">
        <v>1444.0600000000002</v>
      </c>
      <c r="AO21" s="3">
        <v>1444.0600000000002</v>
      </c>
      <c r="AP21" s="3">
        <v>1444.0600000000002</v>
      </c>
      <c r="AQ21" s="3">
        <v>1444.0600000000002</v>
      </c>
      <c r="AR21" s="3">
        <v>1444.0600000000002</v>
      </c>
      <c r="AS21" s="3">
        <v>1444.0600000000002</v>
      </c>
      <c r="AT21" s="3">
        <v>1444.0600000000002</v>
      </c>
      <c r="AU21" s="3">
        <v>1444.0600000000002</v>
      </c>
      <c r="AV21" s="3">
        <v>1444.0600000000002</v>
      </c>
      <c r="AW21" s="3">
        <v>1444.0600000000002</v>
      </c>
      <c r="AX21" s="3">
        <v>17328.719999999998</v>
      </c>
    </row>
    <row r="22" spans="2:50" x14ac:dyDescent="0.35">
      <c r="B22" t="s">
        <v>93</v>
      </c>
      <c r="C22" t="s">
        <v>172</v>
      </c>
      <c r="D22" t="s">
        <v>0</v>
      </c>
      <c r="J22">
        <v>77424</v>
      </c>
      <c r="K22" t="s">
        <v>446</v>
      </c>
      <c r="L22" t="s">
        <v>404</v>
      </c>
      <c r="M22" t="s">
        <v>403</v>
      </c>
      <c r="N22" t="s">
        <v>403</v>
      </c>
      <c r="O22" t="s">
        <v>440</v>
      </c>
      <c r="P22" t="s">
        <v>401</v>
      </c>
      <c r="V22" s="2" t="s">
        <v>445</v>
      </c>
      <c r="W22" s="1" t="s">
        <v>6</v>
      </c>
      <c r="AF22" s="4" t="s">
        <v>391</v>
      </c>
      <c r="AG22" s="4" t="s">
        <v>88</v>
      </c>
      <c r="AH22" t="s">
        <v>444</v>
      </c>
      <c r="AI22" s="4" t="s">
        <v>83</v>
      </c>
      <c r="AJ22" t="s">
        <v>82</v>
      </c>
      <c r="AK22" t="s">
        <v>172</v>
      </c>
      <c r="AL22" s="3">
        <v>1444.08</v>
      </c>
      <c r="AM22" s="3">
        <v>1444.08</v>
      </c>
      <c r="AN22" s="3">
        <v>1444.08</v>
      </c>
      <c r="AO22" s="3">
        <v>1444.08</v>
      </c>
      <c r="AP22" s="3">
        <v>1444.08</v>
      </c>
      <c r="AQ22" s="3">
        <v>1444.08</v>
      </c>
      <c r="AR22" s="3">
        <v>1444.08</v>
      </c>
      <c r="AS22" s="3">
        <v>1444.08</v>
      </c>
      <c r="AT22" s="3">
        <v>1444.08</v>
      </c>
      <c r="AU22" s="3">
        <v>1444.08</v>
      </c>
      <c r="AV22" s="3">
        <v>1444.08</v>
      </c>
      <c r="AW22" s="3">
        <v>1444.08</v>
      </c>
      <c r="AX22" s="3">
        <v>17328.96</v>
      </c>
    </row>
    <row r="23" spans="2:50" x14ac:dyDescent="0.35">
      <c r="B23" t="s">
        <v>93</v>
      </c>
      <c r="C23" t="s">
        <v>95</v>
      </c>
      <c r="D23" t="s">
        <v>0</v>
      </c>
      <c r="J23">
        <v>77441</v>
      </c>
      <c r="K23" t="s">
        <v>443</v>
      </c>
      <c r="L23" t="s">
        <v>404</v>
      </c>
      <c r="M23" t="s">
        <v>403</v>
      </c>
      <c r="N23" t="s">
        <v>403</v>
      </c>
      <c r="O23" t="s">
        <v>440</v>
      </c>
      <c r="P23" t="s">
        <v>401</v>
      </c>
      <c r="V23" s="2" t="s">
        <v>442</v>
      </c>
      <c r="W23" s="1" t="s">
        <v>0</v>
      </c>
      <c r="AF23" s="4" t="s">
        <v>391</v>
      </c>
      <c r="AG23" s="4" t="s">
        <v>88</v>
      </c>
      <c r="AH23" t="s">
        <v>107</v>
      </c>
      <c r="AI23" s="4" t="s">
        <v>83</v>
      </c>
      <c r="AJ23" t="s">
        <v>82</v>
      </c>
      <c r="AK23" t="s">
        <v>172</v>
      </c>
      <c r="AL23" s="3">
        <v>1760</v>
      </c>
      <c r="AM23" s="3">
        <v>1760</v>
      </c>
      <c r="AN23" s="3">
        <v>1760</v>
      </c>
      <c r="AO23" s="3">
        <v>1760</v>
      </c>
      <c r="AP23" s="3">
        <v>1760</v>
      </c>
      <c r="AQ23" s="3">
        <v>1760</v>
      </c>
      <c r="AR23" s="3">
        <v>1760</v>
      </c>
      <c r="AS23" s="3">
        <v>1760</v>
      </c>
      <c r="AT23" s="3">
        <v>1760</v>
      </c>
      <c r="AU23" s="3">
        <v>1760</v>
      </c>
      <c r="AV23" s="3">
        <v>1760</v>
      </c>
      <c r="AW23" s="3">
        <v>1760</v>
      </c>
      <c r="AX23" s="3">
        <v>21120</v>
      </c>
    </row>
    <row r="24" spans="2:50" x14ac:dyDescent="0.35">
      <c r="B24" t="s">
        <v>93</v>
      </c>
      <c r="C24" t="s">
        <v>81</v>
      </c>
      <c r="D24" t="s">
        <v>0</v>
      </c>
      <c r="J24">
        <v>77471</v>
      </c>
      <c r="K24" t="s">
        <v>441</v>
      </c>
      <c r="L24" t="s">
        <v>404</v>
      </c>
      <c r="M24" t="s">
        <v>403</v>
      </c>
      <c r="N24" t="s">
        <v>403</v>
      </c>
      <c r="O24" t="s">
        <v>440</v>
      </c>
      <c r="P24" t="s">
        <v>401</v>
      </c>
      <c r="V24" s="2" t="s">
        <v>439</v>
      </c>
      <c r="W24" s="1" t="s">
        <v>6</v>
      </c>
      <c r="AF24" s="4" t="s">
        <v>391</v>
      </c>
      <c r="AG24" s="4" t="s">
        <v>88</v>
      </c>
      <c r="AH24" t="s">
        <v>105</v>
      </c>
      <c r="AI24" s="4" t="s">
        <v>83</v>
      </c>
      <c r="AJ24" t="s">
        <v>82</v>
      </c>
      <c r="AK24" t="s">
        <v>172</v>
      </c>
      <c r="AL24" s="3">
        <v>1682.5</v>
      </c>
      <c r="AM24" s="3">
        <v>1682.5</v>
      </c>
      <c r="AN24" s="3">
        <v>1682.5</v>
      </c>
      <c r="AO24" s="3">
        <v>1682.5</v>
      </c>
      <c r="AP24" s="3">
        <v>1682.5</v>
      </c>
      <c r="AQ24" s="3">
        <v>1682.5</v>
      </c>
      <c r="AR24" s="3">
        <v>1682.5</v>
      </c>
      <c r="AS24" s="3">
        <v>1682.5</v>
      </c>
      <c r="AT24" s="3">
        <v>1682.5</v>
      </c>
      <c r="AU24" s="3">
        <v>1682.5</v>
      </c>
      <c r="AV24" s="3">
        <v>1682.5</v>
      </c>
      <c r="AW24" s="3">
        <v>1682.5</v>
      </c>
      <c r="AX24" s="3">
        <v>20190</v>
      </c>
    </row>
    <row r="25" spans="2:50" x14ac:dyDescent="0.35">
      <c r="B25" t="s">
        <v>88</v>
      </c>
      <c r="C25" t="s">
        <v>172</v>
      </c>
      <c r="D25" t="s">
        <v>0</v>
      </c>
      <c r="J25">
        <v>1000188</v>
      </c>
      <c r="K25" t="s">
        <v>438</v>
      </c>
      <c r="L25" t="s">
        <v>404</v>
      </c>
      <c r="M25" t="s">
        <v>403</v>
      </c>
      <c r="N25" t="s">
        <v>403</v>
      </c>
      <c r="O25" t="s">
        <v>402</v>
      </c>
      <c r="P25" t="s">
        <v>401</v>
      </c>
      <c r="V25" s="2" t="s">
        <v>437</v>
      </c>
      <c r="W25" s="1" t="s">
        <v>2</v>
      </c>
      <c r="AF25" s="4" t="s">
        <v>391</v>
      </c>
      <c r="AG25" s="4" t="s">
        <v>88</v>
      </c>
      <c r="AH25" t="s">
        <v>436</v>
      </c>
      <c r="AI25" s="4" t="s">
        <v>83</v>
      </c>
      <c r="AJ25" t="s">
        <v>82</v>
      </c>
      <c r="AK25" t="s">
        <v>172</v>
      </c>
      <c r="AL25" s="3">
        <v>1682.5</v>
      </c>
      <c r="AM25" s="3">
        <v>1682.5</v>
      </c>
      <c r="AN25" s="3">
        <v>1682.5</v>
      </c>
      <c r="AO25" s="3">
        <v>1682.5</v>
      </c>
      <c r="AP25" s="3">
        <v>1682.5</v>
      </c>
      <c r="AQ25" s="3">
        <v>1682.5</v>
      </c>
      <c r="AR25" s="3">
        <v>1682.5</v>
      </c>
      <c r="AS25" s="3">
        <v>1682.5</v>
      </c>
      <c r="AT25" s="3">
        <v>1682.5</v>
      </c>
      <c r="AU25" s="3">
        <v>1682.5</v>
      </c>
      <c r="AV25" s="3">
        <v>1682.5</v>
      </c>
      <c r="AW25" s="3">
        <v>1682.5</v>
      </c>
      <c r="AX25" s="3">
        <v>20190</v>
      </c>
    </row>
    <row r="26" spans="2:50" x14ac:dyDescent="0.35">
      <c r="B26" t="s">
        <v>88</v>
      </c>
      <c r="C26" t="s">
        <v>95</v>
      </c>
      <c r="D26" t="s">
        <v>0</v>
      </c>
      <c r="J26">
        <v>77683</v>
      </c>
      <c r="K26" t="s">
        <v>435</v>
      </c>
      <c r="L26" t="s">
        <v>404</v>
      </c>
      <c r="M26" t="s">
        <v>403</v>
      </c>
      <c r="N26" t="s">
        <v>403</v>
      </c>
      <c r="O26" t="s">
        <v>434</v>
      </c>
      <c r="P26" t="s">
        <v>401</v>
      </c>
      <c r="V26" s="2" t="s">
        <v>433</v>
      </c>
      <c r="W26" s="1" t="s">
        <v>6</v>
      </c>
      <c r="AF26" s="4" t="s">
        <v>391</v>
      </c>
      <c r="AG26" s="4" t="s">
        <v>88</v>
      </c>
      <c r="AH26" t="s">
        <v>102</v>
      </c>
      <c r="AI26" s="4" t="s">
        <v>83</v>
      </c>
      <c r="AJ26" t="s">
        <v>82</v>
      </c>
      <c r="AK26" t="s">
        <v>172</v>
      </c>
      <c r="AL26" s="3">
        <v>1682.5</v>
      </c>
      <c r="AM26" s="3">
        <v>1682.5</v>
      </c>
      <c r="AN26" s="3">
        <v>1682.5</v>
      </c>
      <c r="AO26" s="3">
        <v>1682.5</v>
      </c>
      <c r="AP26" s="3">
        <v>1682.5</v>
      </c>
      <c r="AQ26" s="3">
        <v>1682.5</v>
      </c>
      <c r="AR26" s="3">
        <v>1682.5</v>
      </c>
      <c r="AS26" s="3">
        <v>1682.5</v>
      </c>
      <c r="AT26" s="3">
        <v>1682.5</v>
      </c>
      <c r="AU26" s="3">
        <v>1682.5</v>
      </c>
      <c r="AV26" s="3">
        <v>1682.5</v>
      </c>
      <c r="AW26" s="3">
        <v>1682.5</v>
      </c>
      <c r="AX26" s="3">
        <v>20190</v>
      </c>
    </row>
    <row r="27" spans="2:50" x14ac:dyDescent="0.35">
      <c r="B27" t="s">
        <v>88</v>
      </c>
      <c r="C27" t="s">
        <v>81</v>
      </c>
      <c r="D27" t="s">
        <v>0</v>
      </c>
      <c r="J27">
        <v>1000192</v>
      </c>
      <c r="K27" t="s">
        <v>432</v>
      </c>
      <c r="L27" t="s">
        <v>404</v>
      </c>
      <c r="M27" t="s">
        <v>403</v>
      </c>
      <c r="N27" t="s">
        <v>403</v>
      </c>
      <c r="O27" t="s">
        <v>402</v>
      </c>
      <c r="P27" t="s">
        <v>401</v>
      </c>
      <c r="V27" s="2" t="s">
        <v>431</v>
      </c>
      <c r="W27" s="1" t="s">
        <v>6</v>
      </c>
      <c r="AF27" s="4" t="s">
        <v>391</v>
      </c>
      <c r="AG27" s="4" t="s">
        <v>88</v>
      </c>
      <c r="AH27" t="s">
        <v>295</v>
      </c>
      <c r="AI27" s="4" t="s">
        <v>83</v>
      </c>
      <c r="AJ27" t="s">
        <v>82</v>
      </c>
      <c r="AK27" t="s">
        <v>172</v>
      </c>
      <c r="AL27" s="3">
        <v>3235.23</v>
      </c>
      <c r="AM27" s="3">
        <v>3235.23</v>
      </c>
      <c r="AN27" s="3">
        <v>3235.23</v>
      </c>
      <c r="AO27" s="3">
        <v>3235.23</v>
      </c>
      <c r="AP27" s="3">
        <v>3235.23</v>
      </c>
      <c r="AQ27" s="3">
        <v>3235.23</v>
      </c>
      <c r="AR27" s="3">
        <v>3235.23</v>
      </c>
      <c r="AS27" s="3">
        <v>3235.23</v>
      </c>
      <c r="AT27" s="3">
        <v>3235.23</v>
      </c>
      <c r="AU27" s="3">
        <v>3235.23</v>
      </c>
      <c r="AV27" s="3">
        <v>3235.23</v>
      </c>
      <c r="AW27" s="3">
        <v>3235.23</v>
      </c>
      <c r="AX27" s="3">
        <v>38822.76</v>
      </c>
    </row>
    <row r="28" spans="2:50" x14ac:dyDescent="0.35">
      <c r="B28" t="s">
        <v>146</v>
      </c>
      <c r="C28" t="s">
        <v>172</v>
      </c>
      <c r="D28" t="s">
        <v>0</v>
      </c>
      <c r="J28">
        <v>1000194</v>
      </c>
      <c r="K28" t="s">
        <v>430</v>
      </c>
      <c r="L28" t="s">
        <v>404</v>
      </c>
      <c r="M28" t="s">
        <v>403</v>
      </c>
      <c r="N28" t="s">
        <v>403</v>
      </c>
      <c r="O28" t="s">
        <v>402</v>
      </c>
      <c r="P28" t="s">
        <v>401</v>
      </c>
      <c r="V28" s="2" t="s">
        <v>429</v>
      </c>
      <c r="W28" s="1" t="s">
        <v>2</v>
      </c>
      <c r="AF28" s="4" t="s">
        <v>391</v>
      </c>
      <c r="AG28" s="4" t="s">
        <v>88</v>
      </c>
      <c r="AH28" t="s">
        <v>269</v>
      </c>
      <c r="AI28" s="4" t="s">
        <v>83</v>
      </c>
      <c r="AJ28" t="s">
        <v>82</v>
      </c>
      <c r="AK28" t="s">
        <v>172</v>
      </c>
      <c r="AL28" s="3">
        <v>626.58333333333337</v>
      </c>
      <c r="AM28" s="3">
        <v>626.58333333333337</v>
      </c>
      <c r="AN28" s="3">
        <v>626.58333333333337</v>
      </c>
      <c r="AO28" s="3">
        <v>626.58333333333337</v>
      </c>
      <c r="AP28" s="3">
        <v>626.58333333333337</v>
      </c>
      <c r="AQ28" s="3">
        <v>626.58333333333337</v>
      </c>
      <c r="AR28" s="3">
        <v>626.58333333333337</v>
      </c>
      <c r="AS28" s="3">
        <v>626.58333333333337</v>
      </c>
      <c r="AT28" s="3">
        <v>626.58333333333337</v>
      </c>
      <c r="AU28" s="3">
        <v>626.58333333333337</v>
      </c>
      <c r="AV28" s="3">
        <v>626.58333333333337</v>
      </c>
      <c r="AW28" s="3">
        <v>626.58333333333337</v>
      </c>
      <c r="AX28" s="3">
        <v>7518.9999999999991</v>
      </c>
    </row>
    <row r="29" spans="2:50" x14ac:dyDescent="0.35">
      <c r="B29" t="s">
        <v>146</v>
      </c>
      <c r="C29" t="s">
        <v>95</v>
      </c>
      <c r="D29" t="s">
        <v>0</v>
      </c>
      <c r="J29">
        <v>1000018</v>
      </c>
      <c r="K29" t="s">
        <v>428</v>
      </c>
      <c r="L29" t="s">
        <v>404</v>
      </c>
      <c r="M29" t="s">
        <v>403</v>
      </c>
      <c r="N29" t="s">
        <v>403</v>
      </c>
      <c r="O29" t="s">
        <v>427</v>
      </c>
      <c r="P29" t="s">
        <v>401</v>
      </c>
      <c r="V29" s="2" t="s">
        <v>426</v>
      </c>
      <c r="W29" s="1" t="s">
        <v>6</v>
      </c>
      <c r="AF29" s="4" t="s">
        <v>391</v>
      </c>
      <c r="AG29" s="4" t="s">
        <v>88</v>
      </c>
      <c r="AH29" t="s">
        <v>269</v>
      </c>
      <c r="AI29" s="4" t="s">
        <v>83</v>
      </c>
      <c r="AJ29" t="s">
        <v>101</v>
      </c>
      <c r="AK29" t="s">
        <v>172</v>
      </c>
      <c r="AL29" s="3"/>
      <c r="AM29" s="3"/>
      <c r="AN29" s="3"/>
      <c r="AO29" s="3"/>
      <c r="AP29" s="3"/>
      <c r="AQ29" s="3"/>
      <c r="AR29" s="3"/>
      <c r="AS29" s="3"/>
      <c r="AT29" s="3"/>
      <c r="AU29" s="3">
        <v>7519</v>
      </c>
      <c r="AV29" s="3">
        <v>7519</v>
      </c>
      <c r="AW29" s="3"/>
      <c r="AX29" s="3">
        <v>15038</v>
      </c>
    </row>
    <row r="30" spans="2:50" x14ac:dyDescent="0.35">
      <c r="B30" t="s">
        <v>173</v>
      </c>
      <c r="C30" t="s">
        <v>172</v>
      </c>
      <c r="D30" t="s">
        <v>0</v>
      </c>
      <c r="J30">
        <v>1000225</v>
      </c>
      <c r="K30" t="s">
        <v>425</v>
      </c>
      <c r="L30" t="s">
        <v>404</v>
      </c>
      <c r="M30" t="s">
        <v>403</v>
      </c>
      <c r="N30" t="s">
        <v>403</v>
      </c>
      <c r="O30" t="s">
        <v>402</v>
      </c>
      <c r="P30" t="s">
        <v>401</v>
      </c>
      <c r="V30" s="2" t="s">
        <v>424</v>
      </c>
      <c r="W30" s="1" t="s">
        <v>6</v>
      </c>
      <c r="AF30" s="4" t="s">
        <v>391</v>
      </c>
      <c r="AG30" s="4" t="s">
        <v>88</v>
      </c>
      <c r="AH30" t="s">
        <v>423</v>
      </c>
      <c r="AI30" s="4" t="s">
        <v>83</v>
      </c>
      <c r="AJ30" t="s">
        <v>82</v>
      </c>
      <c r="AK30" t="s">
        <v>172</v>
      </c>
      <c r="AL30" s="3">
        <v>2588.41</v>
      </c>
      <c r="AM30" s="3">
        <v>2588.41</v>
      </c>
      <c r="AN30" s="3">
        <v>2588.41</v>
      </c>
      <c r="AO30" s="3">
        <v>2588.41</v>
      </c>
      <c r="AP30" s="3">
        <v>2588.41</v>
      </c>
      <c r="AQ30" s="3">
        <v>2588.41</v>
      </c>
      <c r="AR30" s="3">
        <v>2588.41</v>
      </c>
      <c r="AS30" s="3">
        <v>2588.41</v>
      </c>
      <c r="AT30" s="3">
        <v>2588.41</v>
      </c>
      <c r="AU30" s="3">
        <v>2588.41</v>
      </c>
      <c r="AV30" s="3">
        <v>2588.41</v>
      </c>
      <c r="AW30" s="3">
        <v>2588.41</v>
      </c>
      <c r="AX30" s="3">
        <v>31060.92</v>
      </c>
    </row>
    <row r="31" spans="2:50" x14ac:dyDescent="0.35">
      <c r="B31" t="s">
        <v>173</v>
      </c>
      <c r="C31" t="s">
        <v>95</v>
      </c>
      <c r="D31" t="s">
        <v>0</v>
      </c>
      <c r="J31">
        <v>1000195</v>
      </c>
      <c r="K31" t="s">
        <v>422</v>
      </c>
      <c r="L31" t="s">
        <v>404</v>
      </c>
      <c r="M31" t="s">
        <v>403</v>
      </c>
      <c r="N31" t="s">
        <v>403</v>
      </c>
      <c r="O31" t="s">
        <v>402</v>
      </c>
      <c r="P31" t="s">
        <v>401</v>
      </c>
      <c r="V31" s="2" t="s">
        <v>421</v>
      </c>
      <c r="W31" s="1" t="s">
        <v>6</v>
      </c>
      <c r="AF31" s="4" t="s">
        <v>391</v>
      </c>
      <c r="AG31" s="4" t="s">
        <v>88</v>
      </c>
      <c r="AH31" t="s">
        <v>420</v>
      </c>
      <c r="AI31" s="4" t="s">
        <v>83</v>
      </c>
      <c r="AJ31" t="s">
        <v>82</v>
      </c>
      <c r="AK31" t="s">
        <v>172</v>
      </c>
      <c r="AL31" s="3">
        <v>749.84</v>
      </c>
      <c r="AM31" s="3">
        <v>749.84</v>
      </c>
      <c r="AN31" s="3">
        <v>749.84</v>
      </c>
      <c r="AO31" s="3">
        <v>749.84</v>
      </c>
      <c r="AP31" s="3">
        <v>749.84</v>
      </c>
      <c r="AQ31" s="3">
        <v>749.84</v>
      </c>
      <c r="AR31" s="3">
        <v>749.84</v>
      </c>
      <c r="AS31" s="3">
        <v>749.84</v>
      </c>
      <c r="AT31" s="3">
        <v>749.84</v>
      </c>
      <c r="AU31" s="3">
        <v>749.84</v>
      </c>
      <c r="AV31" s="3">
        <v>749.84</v>
      </c>
      <c r="AW31" s="3">
        <v>749.84</v>
      </c>
      <c r="AX31" s="3">
        <v>8998.08</v>
      </c>
    </row>
    <row r="32" spans="2:50" x14ac:dyDescent="0.35">
      <c r="B32" t="s">
        <v>93</v>
      </c>
      <c r="C32" t="s">
        <v>172</v>
      </c>
      <c r="D32" t="s">
        <v>2</v>
      </c>
      <c r="J32">
        <v>1000207</v>
      </c>
      <c r="K32" t="s">
        <v>419</v>
      </c>
      <c r="L32" t="s">
        <v>404</v>
      </c>
      <c r="M32" t="s">
        <v>403</v>
      </c>
      <c r="N32" t="s">
        <v>403</v>
      </c>
      <c r="O32" t="s">
        <v>402</v>
      </c>
      <c r="P32" t="s">
        <v>401</v>
      </c>
      <c r="V32" s="2" t="s">
        <v>418</v>
      </c>
      <c r="W32" s="1" t="s">
        <v>6</v>
      </c>
      <c r="AF32" s="4" t="s">
        <v>391</v>
      </c>
      <c r="AG32" s="4" t="s">
        <v>88</v>
      </c>
      <c r="AH32" t="s">
        <v>417</v>
      </c>
      <c r="AI32" s="4" t="s">
        <v>83</v>
      </c>
      <c r="AJ32" t="s">
        <v>82</v>
      </c>
      <c r="AK32" t="s">
        <v>172</v>
      </c>
      <c r="AL32" s="3">
        <v>1164.9100000000001</v>
      </c>
      <c r="AM32" s="3">
        <v>1164.9100000000001</v>
      </c>
      <c r="AN32" s="3">
        <v>1164.9100000000001</v>
      </c>
      <c r="AO32" s="3">
        <v>1164.9100000000001</v>
      </c>
      <c r="AP32" s="3">
        <v>1164.9100000000001</v>
      </c>
      <c r="AQ32" s="3">
        <v>1164.9100000000001</v>
      </c>
      <c r="AR32" s="3">
        <v>1164.9100000000001</v>
      </c>
      <c r="AS32" s="3">
        <v>1164.9100000000001</v>
      </c>
      <c r="AT32" s="3">
        <v>1164.9100000000001</v>
      </c>
      <c r="AU32" s="3">
        <v>1164.9100000000001</v>
      </c>
      <c r="AV32" s="3">
        <v>1164.9100000000001</v>
      </c>
      <c r="AW32" s="3">
        <v>1164.9100000000001</v>
      </c>
      <c r="AX32" s="3">
        <v>13978.92</v>
      </c>
    </row>
    <row r="33" spans="2:50" x14ac:dyDescent="0.35">
      <c r="B33" t="s">
        <v>93</v>
      </c>
      <c r="C33" t="s">
        <v>95</v>
      </c>
      <c r="D33" t="s">
        <v>2</v>
      </c>
      <c r="J33">
        <v>1000240</v>
      </c>
      <c r="K33" t="s">
        <v>416</v>
      </c>
      <c r="L33" t="s">
        <v>404</v>
      </c>
      <c r="M33" t="s">
        <v>403</v>
      </c>
      <c r="N33" t="s">
        <v>403</v>
      </c>
      <c r="O33" t="s">
        <v>402</v>
      </c>
      <c r="P33" t="s">
        <v>401</v>
      </c>
      <c r="V33" s="2" t="s">
        <v>415</v>
      </c>
      <c r="W33" s="1" t="s">
        <v>0</v>
      </c>
      <c r="AF33" s="4" t="s">
        <v>391</v>
      </c>
      <c r="AG33" s="4" t="s">
        <v>88</v>
      </c>
      <c r="AH33" t="s">
        <v>414</v>
      </c>
      <c r="AI33" s="4" t="s">
        <v>83</v>
      </c>
      <c r="AJ33" t="s">
        <v>82</v>
      </c>
      <c r="AK33" t="s">
        <v>172</v>
      </c>
      <c r="AL33" s="3">
        <v>1049.8275000000001</v>
      </c>
      <c r="AM33" s="3">
        <v>1049.8275000000001</v>
      </c>
      <c r="AN33" s="3">
        <v>1049.8275000000001</v>
      </c>
      <c r="AO33" s="3">
        <v>1049.8275000000001</v>
      </c>
      <c r="AP33" s="3">
        <v>1049.8275000000001</v>
      </c>
      <c r="AQ33" s="3">
        <v>1049.8275000000001</v>
      </c>
      <c r="AR33" s="3">
        <v>1049.8275000000001</v>
      </c>
      <c r="AS33" s="3">
        <v>1049.8275000000001</v>
      </c>
      <c r="AT33" s="3">
        <v>1049.8275000000001</v>
      </c>
      <c r="AU33" s="3">
        <v>1049.8275000000001</v>
      </c>
      <c r="AV33" s="3">
        <v>1049.8275000000001</v>
      </c>
      <c r="AW33" s="3">
        <v>1049.8275000000001</v>
      </c>
      <c r="AX33" s="3">
        <v>12597.929999999998</v>
      </c>
    </row>
    <row r="34" spans="2:50" x14ac:dyDescent="0.35">
      <c r="B34" t="s">
        <v>93</v>
      </c>
      <c r="C34" t="s">
        <v>81</v>
      </c>
      <c r="D34" t="s">
        <v>2</v>
      </c>
      <c r="K34" t="s">
        <v>413</v>
      </c>
      <c r="L34" t="s">
        <v>404</v>
      </c>
      <c r="M34" t="s">
        <v>403</v>
      </c>
      <c r="N34" t="s">
        <v>403</v>
      </c>
      <c r="O34" t="s">
        <v>402</v>
      </c>
      <c r="P34" t="s">
        <v>401</v>
      </c>
      <c r="V34" s="2" t="s">
        <v>361</v>
      </c>
      <c r="W34" s="1" t="s">
        <v>0</v>
      </c>
      <c r="AF34" s="4" t="s">
        <v>391</v>
      </c>
      <c r="AG34" s="4" t="s">
        <v>88</v>
      </c>
      <c r="AH34" t="s">
        <v>390</v>
      </c>
      <c r="AI34" s="4" t="s">
        <v>83</v>
      </c>
      <c r="AJ34" t="s">
        <v>82</v>
      </c>
      <c r="AK34" t="s">
        <v>172</v>
      </c>
      <c r="AL34" s="3">
        <v>3888.25</v>
      </c>
      <c r="AM34" s="3">
        <v>3888.25</v>
      </c>
      <c r="AN34" s="3">
        <v>3888.25</v>
      </c>
      <c r="AO34" s="3">
        <v>3888.25</v>
      </c>
      <c r="AP34" s="3">
        <v>3888.25</v>
      </c>
      <c r="AQ34" s="3">
        <v>3888.25</v>
      </c>
      <c r="AR34" s="3">
        <v>3888.25</v>
      </c>
      <c r="AS34" s="3">
        <v>3888.25</v>
      </c>
      <c r="AT34" s="3">
        <v>3888.25</v>
      </c>
      <c r="AU34" s="3">
        <v>3888.25</v>
      </c>
      <c r="AV34" s="3">
        <v>3888.25</v>
      </c>
      <c r="AW34" s="3">
        <v>3888.25</v>
      </c>
      <c r="AX34" s="3">
        <v>46659</v>
      </c>
    </row>
    <row r="35" spans="2:50" x14ac:dyDescent="0.35">
      <c r="B35" t="s">
        <v>88</v>
      </c>
      <c r="C35" t="s">
        <v>172</v>
      </c>
      <c r="D35" t="s">
        <v>2</v>
      </c>
      <c r="K35" t="s">
        <v>412</v>
      </c>
      <c r="L35" t="s">
        <v>404</v>
      </c>
      <c r="M35" t="s">
        <v>403</v>
      </c>
      <c r="N35" t="s">
        <v>403</v>
      </c>
      <c r="O35" t="s">
        <v>402</v>
      </c>
      <c r="P35" t="s">
        <v>401</v>
      </c>
      <c r="V35" s="2" t="s">
        <v>411</v>
      </c>
      <c r="W35" s="1" t="s">
        <v>2</v>
      </c>
      <c r="AF35" s="4" t="s">
        <v>391</v>
      </c>
      <c r="AG35" s="4" t="s">
        <v>88</v>
      </c>
      <c r="AH35" t="s">
        <v>162</v>
      </c>
      <c r="AI35" s="4" t="s">
        <v>83</v>
      </c>
      <c r="AJ35" t="s">
        <v>82</v>
      </c>
      <c r="AK35" t="s">
        <v>172</v>
      </c>
      <c r="AL35" s="3">
        <v>4120</v>
      </c>
      <c r="AM35" s="3">
        <v>4120</v>
      </c>
      <c r="AN35" s="3">
        <v>4120</v>
      </c>
      <c r="AO35" s="3">
        <v>4120</v>
      </c>
      <c r="AP35" s="3">
        <v>4120</v>
      </c>
      <c r="AQ35" s="3">
        <v>4120</v>
      </c>
      <c r="AR35" s="3">
        <v>4120</v>
      </c>
      <c r="AS35" s="3">
        <v>4120</v>
      </c>
      <c r="AT35" s="3">
        <v>4120</v>
      </c>
      <c r="AU35" s="3">
        <v>4120</v>
      </c>
      <c r="AV35" s="3">
        <v>4120</v>
      </c>
      <c r="AW35" s="3">
        <v>4120</v>
      </c>
      <c r="AX35" s="3">
        <v>49440</v>
      </c>
    </row>
    <row r="36" spans="2:50" x14ac:dyDescent="0.35">
      <c r="B36" t="s">
        <v>88</v>
      </c>
      <c r="C36" t="s">
        <v>95</v>
      </c>
      <c r="D36" t="s">
        <v>2</v>
      </c>
      <c r="K36" t="s">
        <v>410</v>
      </c>
      <c r="L36" t="s">
        <v>404</v>
      </c>
      <c r="M36" t="s">
        <v>403</v>
      </c>
      <c r="N36" t="s">
        <v>403</v>
      </c>
      <c r="O36" t="s">
        <v>402</v>
      </c>
      <c r="P36" t="s">
        <v>401</v>
      </c>
      <c r="V36" s="2" t="s">
        <v>409</v>
      </c>
      <c r="W36" s="1" t="s">
        <v>6</v>
      </c>
      <c r="AF36" s="4" t="s">
        <v>391</v>
      </c>
      <c r="AG36" s="4" t="s">
        <v>88</v>
      </c>
      <c r="AH36" t="s">
        <v>408</v>
      </c>
      <c r="AI36" s="4" t="s">
        <v>83</v>
      </c>
      <c r="AJ36" t="s">
        <v>82</v>
      </c>
      <c r="AK36" t="s">
        <v>172</v>
      </c>
      <c r="AL36" s="3">
        <v>1682.5</v>
      </c>
      <c r="AM36" s="3">
        <v>1682.5</v>
      </c>
      <c r="AN36" s="3">
        <v>1682.5</v>
      </c>
      <c r="AO36" s="3">
        <v>1682.5</v>
      </c>
      <c r="AP36" s="3">
        <v>1682.5</v>
      </c>
      <c r="AQ36" s="3">
        <v>1682.5</v>
      </c>
      <c r="AR36" s="3">
        <v>1682.5</v>
      </c>
      <c r="AS36" s="3">
        <v>1682.5</v>
      </c>
      <c r="AT36" s="3">
        <v>1682.5</v>
      </c>
      <c r="AU36" s="3">
        <v>1682.5</v>
      </c>
      <c r="AV36" s="3">
        <v>1682.5</v>
      </c>
      <c r="AW36" s="3">
        <v>1682.5</v>
      </c>
      <c r="AX36" s="3">
        <v>20190</v>
      </c>
    </row>
    <row r="37" spans="2:50" x14ac:dyDescent="0.35">
      <c r="B37" t="s">
        <v>88</v>
      </c>
      <c r="C37" t="s">
        <v>81</v>
      </c>
      <c r="D37" t="s">
        <v>2</v>
      </c>
      <c r="K37" t="s">
        <v>407</v>
      </c>
      <c r="L37" t="s">
        <v>404</v>
      </c>
      <c r="M37" t="s">
        <v>403</v>
      </c>
      <c r="N37" t="s">
        <v>403</v>
      </c>
      <c r="O37" t="s">
        <v>402</v>
      </c>
      <c r="P37" t="s">
        <v>401</v>
      </c>
      <c r="V37" s="2" t="s">
        <v>406</v>
      </c>
      <c r="W37" s="1" t="s">
        <v>0</v>
      </c>
      <c r="AF37" s="4" t="s">
        <v>391</v>
      </c>
      <c r="AG37" s="4" t="s">
        <v>146</v>
      </c>
      <c r="AH37" t="s">
        <v>278</v>
      </c>
      <c r="AI37" s="4" t="s">
        <v>83</v>
      </c>
      <c r="AJ37" t="s">
        <v>82</v>
      </c>
      <c r="AK37" t="s">
        <v>172</v>
      </c>
      <c r="AL37" s="3">
        <v>450</v>
      </c>
      <c r="AM37" s="3">
        <v>450</v>
      </c>
      <c r="AN37" s="3">
        <v>450</v>
      </c>
      <c r="AO37" s="3">
        <v>450</v>
      </c>
      <c r="AP37" s="3">
        <v>450</v>
      </c>
      <c r="AQ37" s="3">
        <v>450</v>
      </c>
      <c r="AR37" s="3">
        <v>450</v>
      </c>
      <c r="AS37" s="3">
        <v>450</v>
      </c>
      <c r="AT37" s="3">
        <v>450</v>
      </c>
      <c r="AU37" s="3">
        <v>450</v>
      </c>
      <c r="AV37" s="3">
        <v>450</v>
      </c>
      <c r="AW37" s="3">
        <v>450</v>
      </c>
      <c r="AX37" s="3">
        <v>5400</v>
      </c>
    </row>
    <row r="38" spans="2:50" x14ac:dyDescent="0.35">
      <c r="B38" t="s">
        <v>146</v>
      </c>
      <c r="C38" t="s">
        <v>172</v>
      </c>
      <c r="D38" t="s">
        <v>2</v>
      </c>
      <c r="K38" t="s">
        <v>405</v>
      </c>
      <c r="L38" t="s">
        <v>404</v>
      </c>
      <c r="M38" t="s">
        <v>403</v>
      </c>
      <c r="N38" t="s">
        <v>403</v>
      </c>
      <c r="O38" t="s">
        <v>402</v>
      </c>
      <c r="P38" t="s">
        <v>401</v>
      </c>
      <c r="V38" s="2" t="s">
        <v>400</v>
      </c>
      <c r="W38" s="1" t="s">
        <v>6</v>
      </c>
      <c r="AF38" s="4" t="s">
        <v>391</v>
      </c>
      <c r="AG38" s="4" t="s">
        <v>146</v>
      </c>
      <c r="AH38" t="s">
        <v>165</v>
      </c>
      <c r="AI38" s="4" t="s">
        <v>83</v>
      </c>
      <c r="AJ38" t="s">
        <v>82</v>
      </c>
      <c r="AK38" t="s">
        <v>172</v>
      </c>
      <c r="AL38" s="3">
        <v>1154</v>
      </c>
      <c r="AM38" s="3">
        <v>1154</v>
      </c>
      <c r="AN38" s="3">
        <v>1154</v>
      </c>
      <c r="AO38" s="3">
        <v>1154</v>
      </c>
      <c r="AP38" s="3">
        <v>1154</v>
      </c>
      <c r="AQ38" s="3">
        <v>1154</v>
      </c>
      <c r="AR38" s="3">
        <v>1154</v>
      </c>
      <c r="AS38" s="3">
        <v>1154</v>
      </c>
      <c r="AT38" s="3">
        <v>1154</v>
      </c>
      <c r="AU38" s="3">
        <v>1154</v>
      </c>
      <c r="AV38" s="3">
        <v>1154</v>
      </c>
      <c r="AW38" s="3">
        <v>1154</v>
      </c>
      <c r="AX38" s="3">
        <v>13848</v>
      </c>
    </row>
    <row r="39" spans="2:50" x14ac:dyDescent="0.35">
      <c r="B39" t="s">
        <v>146</v>
      </c>
      <c r="C39" t="s">
        <v>81</v>
      </c>
      <c r="D39" t="s">
        <v>2</v>
      </c>
      <c r="V39" s="2" t="s">
        <v>399</v>
      </c>
      <c r="W39" s="1" t="s">
        <v>2</v>
      </c>
      <c r="AF39" s="4" t="s">
        <v>391</v>
      </c>
      <c r="AG39" s="4" t="s">
        <v>146</v>
      </c>
      <c r="AH39" t="s">
        <v>162</v>
      </c>
      <c r="AI39" s="4" t="s">
        <v>83</v>
      </c>
      <c r="AJ39" t="s">
        <v>82</v>
      </c>
      <c r="AK39" t="s">
        <v>172</v>
      </c>
      <c r="AL39" s="3">
        <v>2404</v>
      </c>
      <c r="AM39" s="3">
        <v>2404</v>
      </c>
      <c r="AN39" s="3">
        <v>2404</v>
      </c>
      <c r="AO39" s="3">
        <v>2404</v>
      </c>
      <c r="AP39" s="3">
        <v>2404</v>
      </c>
      <c r="AQ39" s="3">
        <v>2404</v>
      </c>
      <c r="AR39" s="3">
        <v>2404</v>
      </c>
      <c r="AS39" s="3">
        <v>2404</v>
      </c>
      <c r="AT39" s="3">
        <v>2404</v>
      </c>
      <c r="AU39" s="3">
        <v>2404</v>
      </c>
      <c r="AV39" s="3">
        <v>2404</v>
      </c>
      <c r="AW39" s="3">
        <v>2404</v>
      </c>
      <c r="AX39" s="3">
        <v>28848</v>
      </c>
    </row>
    <row r="40" spans="2:50" x14ac:dyDescent="0.35">
      <c r="B40" t="s">
        <v>173</v>
      </c>
      <c r="C40" t="s">
        <v>172</v>
      </c>
      <c r="D40" t="s">
        <v>2</v>
      </c>
      <c r="V40" s="2" t="s">
        <v>398</v>
      </c>
      <c r="W40" s="1" t="s">
        <v>2</v>
      </c>
      <c r="AF40" s="4" t="s">
        <v>391</v>
      </c>
      <c r="AG40" s="4" t="s">
        <v>173</v>
      </c>
      <c r="AH40" t="s">
        <v>397</v>
      </c>
      <c r="AI40" s="4" t="s">
        <v>83</v>
      </c>
      <c r="AJ40" t="s">
        <v>91</v>
      </c>
      <c r="AK40" t="s">
        <v>172</v>
      </c>
      <c r="AL40" s="3"/>
      <c r="AM40" s="3"/>
      <c r="AN40" s="3"/>
      <c r="AO40" s="3"/>
      <c r="AP40" s="3"/>
      <c r="AQ40" s="3">
        <v>10815</v>
      </c>
      <c r="AR40" s="3"/>
      <c r="AS40" s="3"/>
      <c r="AT40" s="3"/>
      <c r="AU40" s="3"/>
      <c r="AV40" s="3"/>
      <c r="AW40" s="3"/>
      <c r="AX40" s="3">
        <v>10815</v>
      </c>
    </row>
    <row r="41" spans="2:50" x14ac:dyDescent="0.35">
      <c r="B41" t="s">
        <v>93</v>
      </c>
      <c r="C41" t="s">
        <v>172</v>
      </c>
      <c r="D41" t="s">
        <v>6</v>
      </c>
      <c r="V41" s="2" t="s">
        <v>396</v>
      </c>
      <c r="W41" s="1" t="s">
        <v>2</v>
      </c>
      <c r="AF41" s="4" t="s">
        <v>391</v>
      </c>
      <c r="AG41" s="4" t="s">
        <v>173</v>
      </c>
      <c r="AH41" t="s">
        <v>167</v>
      </c>
      <c r="AI41" s="4" t="s">
        <v>83</v>
      </c>
      <c r="AJ41" t="s">
        <v>91</v>
      </c>
      <c r="AK41" t="s">
        <v>172</v>
      </c>
      <c r="AL41" s="3"/>
      <c r="AM41" s="3"/>
      <c r="AN41" s="3"/>
      <c r="AO41" s="3"/>
      <c r="AP41" s="3"/>
      <c r="AQ41" s="3">
        <v>10815</v>
      </c>
      <c r="AR41" s="3"/>
      <c r="AS41" s="3"/>
      <c r="AT41" s="3"/>
      <c r="AU41" s="3"/>
      <c r="AV41" s="3"/>
      <c r="AW41" s="3"/>
      <c r="AX41" s="3">
        <v>10815</v>
      </c>
    </row>
    <row r="42" spans="2:50" x14ac:dyDescent="0.35">
      <c r="B42" t="s">
        <v>93</v>
      </c>
      <c r="C42" t="s">
        <v>81</v>
      </c>
      <c r="D42" t="s">
        <v>6</v>
      </c>
      <c r="V42" s="2" t="s">
        <v>395</v>
      </c>
      <c r="W42" s="1" t="s">
        <v>2</v>
      </c>
      <c r="AF42" s="4" t="s">
        <v>391</v>
      </c>
      <c r="AG42" s="4" t="s">
        <v>173</v>
      </c>
      <c r="AH42" t="s">
        <v>165</v>
      </c>
      <c r="AI42" s="4" t="s">
        <v>83</v>
      </c>
      <c r="AJ42" t="s">
        <v>91</v>
      </c>
      <c r="AK42" t="s">
        <v>172</v>
      </c>
      <c r="AL42" s="3"/>
      <c r="AM42" s="3"/>
      <c r="AN42" s="3"/>
      <c r="AO42" s="3"/>
      <c r="AP42" s="3"/>
      <c r="AQ42" s="3">
        <v>10815</v>
      </c>
      <c r="AR42" s="3"/>
      <c r="AS42" s="3"/>
      <c r="AT42" s="3"/>
      <c r="AU42" s="3"/>
      <c r="AV42" s="3"/>
      <c r="AW42" s="3"/>
      <c r="AX42" s="3">
        <v>10815</v>
      </c>
    </row>
    <row r="43" spans="2:50" x14ac:dyDescent="0.35">
      <c r="B43" t="s">
        <v>88</v>
      </c>
      <c r="C43" t="s">
        <v>172</v>
      </c>
      <c r="D43" t="s">
        <v>6</v>
      </c>
      <c r="V43" s="2" t="s">
        <v>394</v>
      </c>
      <c r="W43" s="1" t="s">
        <v>2</v>
      </c>
      <c r="AF43" s="4" t="s">
        <v>391</v>
      </c>
      <c r="AG43" s="4" t="s">
        <v>173</v>
      </c>
      <c r="AH43" t="s">
        <v>109</v>
      </c>
      <c r="AI43" s="4" t="s">
        <v>83</v>
      </c>
      <c r="AJ43" t="s">
        <v>91</v>
      </c>
      <c r="AK43" t="s">
        <v>172</v>
      </c>
      <c r="AL43" s="3"/>
      <c r="AM43" s="3"/>
      <c r="AN43" s="3"/>
      <c r="AO43" s="3"/>
      <c r="AP43" s="3"/>
      <c r="AQ43" s="3">
        <v>10815</v>
      </c>
      <c r="AR43" s="3"/>
      <c r="AS43" s="3"/>
      <c r="AT43" s="3"/>
      <c r="AU43" s="3"/>
      <c r="AV43" s="3"/>
      <c r="AW43" s="3"/>
      <c r="AX43" s="3">
        <v>10815</v>
      </c>
    </row>
    <row r="44" spans="2:50" x14ac:dyDescent="0.35">
      <c r="B44" t="s">
        <v>88</v>
      </c>
      <c r="C44" t="s">
        <v>95</v>
      </c>
      <c r="D44" t="s">
        <v>6</v>
      </c>
      <c r="V44" s="2" t="s">
        <v>393</v>
      </c>
      <c r="W44" s="1" t="s">
        <v>6</v>
      </c>
      <c r="AF44" s="4" t="s">
        <v>391</v>
      </c>
      <c r="AG44" s="4" t="s">
        <v>173</v>
      </c>
      <c r="AH44" t="s">
        <v>105</v>
      </c>
      <c r="AI44" s="4" t="s">
        <v>83</v>
      </c>
      <c r="AJ44" t="s">
        <v>91</v>
      </c>
      <c r="AK44" t="s">
        <v>172</v>
      </c>
      <c r="AL44" s="3">
        <v>13390</v>
      </c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13390</v>
      </c>
    </row>
    <row r="45" spans="2:50" x14ac:dyDescent="0.35">
      <c r="B45" t="s">
        <v>88</v>
      </c>
      <c r="C45" t="s">
        <v>81</v>
      </c>
      <c r="D45" t="s">
        <v>6</v>
      </c>
      <c r="V45" s="2" t="s">
        <v>392</v>
      </c>
      <c r="W45" s="1" t="s">
        <v>6</v>
      </c>
      <c r="AF45" s="5" t="s">
        <v>391</v>
      </c>
      <c r="AG45" s="4" t="s">
        <v>173</v>
      </c>
      <c r="AH45" t="s">
        <v>390</v>
      </c>
      <c r="AI45" s="4" t="s">
        <v>83</v>
      </c>
      <c r="AJ45" t="s">
        <v>91</v>
      </c>
      <c r="AK45" t="s">
        <v>172</v>
      </c>
      <c r="AL45" s="3"/>
      <c r="AM45" s="3"/>
      <c r="AN45" s="3"/>
      <c r="AO45" s="3"/>
      <c r="AP45" s="3"/>
      <c r="AQ45" s="3">
        <v>10815</v>
      </c>
      <c r="AR45" s="3"/>
      <c r="AS45" s="3"/>
      <c r="AT45" s="3"/>
      <c r="AU45" s="3"/>
      <c r="AV45" s="3"/>
      <c r="AW45" s="3"/>
      <c r="AX45" s="3">
        <v>10815</v>
      </c>
    </row>
    <row r="46" spans="2:50" x14ac:dyDescent="0.35">
      <c r="B46" t="s">
        <v>146</v>
      </c>
      <c r="C46" t="s">
        <v>81</v>
      </c>
      <c r="D46" t="s">
        <v>6</v>
      </c>
      <c r="V46" s="2" t="s">
        <v>389</v>
      </c>
      <c r="W46" s="1" t="s">
        <v>2</v>
      </c>
      <c r="AF46" s="4" t="s">
        <v>384</v>
      </c>
      <c r="AG46" s="4" t="s">
        <v>306</v>
      </c>
      <c r="AH46" t="s">
        <v>252</v>
      </c>
      <c r="AI46" s="4" t="s">
        <v>83</v>
      </c>
      <c r="AJ46" t="s">
        <v>145</v>
      </c>
      <c r="AK46" t="s">
        <v>95</v>
      </c>
      <c r="AL46" s="3">
        <v>829.07999999999993</v>
      </c>
      <c r="AM46" s="3">
        <v>829.07999999999993</v>
      </c>
      <c r="AN46" s="3">
        <v>829.07999999999993</v>
      </c>
      <c r="AO46" s="3">
        <v>829.07999999999993</v>
      </c>
      <c r="AP46" s="3">
        <v>829.07999999999993</v>
      </c>
      <c r="AQ46" s="3">
        <v>829.07999999999993</v>
      </c>
      <c r="AR46" s="3">
        <v>829.07999999999993</v>
      </c>
      <c r="AS46" s="3">
        <v>829.07999999999993</v>
      </c>
      <c r="AT46" s="3">
        <v>829.07999999999993</v>
      </c>
      <c r="AU46" s="3">
        <v>829.07999999999993</v>
      </c>
      <c r="AV46" s="3">
        <v>829.07999999999993</v>
      </c>
      <c r="AW46" s="3">
        <v>829.07999999999993</v>
      </c>
      <c r="AX46" s="3">
        <v>9948.9599999999991</v>
      </c>
    </row>
    <row r="47" spans="2:50" x14ac:dyDescent="0.35">
      <c r="B47" t="s">
        <v>173</v>
      </c>
      <c r="C47" t="s">
        <v>172</v>
      </c>
      <c r="D47" t="s">
        <v>6</v>
      </c>
      <c r="V47" s="2" t="s">
        <v>388</v>
      </c>
      <c r="W47" s="1" t="s">
        <v>6</v>
      </c>
      <c r="AF47" s="4" t="s">
        <v>384</v>
      </c>
      <c r="AG47" s="4" t="s">
        <v>88</v>
      </c>
      <c r="AH47" t="s">
        <v>252</v>
      </c>
      <c r="AI47" s="4" t="s">
        <v>83</v>
      </c>
      <c r="AJ47" t="s">
        <v>82</v>
      </c>
      <c r="AK47" t="s">
        <v>95</v>
      </c>
      <c r="AL47" s="3">
        <v>894.46783854166642</v>
      </c>
      <c r="AM47" s="3">
        <v>894.46783854166642</v>
      </c>
      <c r="AN47" s="3">
        <v>894.46783854166642</v>
      </c>
      <c r="AO47" s="3">
        <v>894.46783854166642</v>
      </c>
      <c r="AP47" s="3">
        <v>894.46783854166642</v>
      </c>
      <c r="AQ47" s="3">
        <v>894.46783854166642</v>
      </c>
      <c r="AR47" s="3">
        <v>894.46783854166642</v>
      </c>
      <c r="AS47" s="3">
        <v>894.46783854166642</v>
      </c>
      <c r="AT47" s="3">
        <v>894.46783854166642</v>
      </c>
      <c r="AU47" s="3">
        <v>894.46783854166642</v>
      </c>
      <c r="AV47" s="3">
        <v>894.46783854166642</v>
      </c>
      <c r="AW47" s="3">
        <v>894.46783854166642</v>
      </c>
      <c r="AX47" s="3">
        <v>10733.614062499997</v>
      </c>
    </row>
    <row r="48" spans="2:50" x14ac:dyDescent="0.35">
      <c r="V48" s="2" t="s">
        <v>387</v>
      </c>
      <c r="W48" s="1" t="s">
        <v>6</v>
      </c>
      <c r="AF48" s="4" t="s">
        <v>384</v>
      </c>
      <c r="AG48" s="4" t="s">
        <v>88</v>
      </c>
      <c r="AH48" t="s">
        <v>165</v>
      </c>
      <c r="AI48" s="4" t="s">
        <v>83</v>
      </c>
      <c r="AJ48" t="s">
        <v>82</v>
      </c>
      <c r="AK48" t="s">
        <v>95</v>
      </c>
      <c r="AL48" s="3">
        <v>641.54908854166661</v>
      </c>
      <c r="AM48" s="3">
        <v>641.54908854166661</v>
      </c>
      <c r="AN48" s="3">
        <v>641.54908854166661</v>
      </c>
      <c r="AO48" s="3">
        <v>641.54908854166661</v>
      </c>
      <c r="AP48" s="3">
        <v>641.54908854166661</v>
      </c>
      <c r="AQ48" s="3">
        <v>641.54908854166661</v>
      </c>
      <c r="AR48" s="3">
        <v>641.54908854166661</v>
      </c>
      <c r="AS48" s="3">
        <v>641.54908854166661</v>
      </c>
      <c r="AT48" s="3">
        <v>641.54908854166661</v>
      </c>
      <c r="AU48" s="3">
        <v>641.54908854166661</v>
      </c>
      <c r="AV48" s="3">
        <v>641.54908854166661</v>
      </c>
      <c r="AW48" s="3">
        <v>641.54908854166661</v>
      </c>
      <c r="AX48" s="3">
        <v>7698.5890624999993</v>
      </c>
    </row>
    <row r="49" spans="22:50" x14ac:dyDescent="0.35">
      <c r="V49" s="2" t="s">
        <v>386</v>
      </c>
      <c r="W49" s="1" t="s">
        <v>2</v>
      </c>
      <c r="AF49" s="4" t="s">
        <v>384</v>
      </c>
      <c r="AG49" s="4" t="s">
        <v>88</v>
      </c>
      <c r="AH49" t="s">
        <v>311</v>
      </c>
      <c r="AI49" s="4" t="s">
        <v>83</v>
      </c>
      <c r="AJ49" t="s">
        <v>82</v>
      </c>
      <c r="AK49" t="s">
        <v>95</v>
      </c>
      <c r="AL49" s="3">
        <v>894.46783854166642</v>
      </c>
      <c r="AM49" s="3">
        <v>894.46783854166642</v>
      </c>
      <c r="AN49" s="3">
        <v>894.46783854166642</v>
      </c>
      <c r="AO49" s="3">
        <v>894.46783854166642</v>
      </c>
      <c r="AP49" s="3">
        <v>894.46783854166642</v>
      </c>
      <c r="AQ49" s="3">
        <v>894.46783854166642</v>
      </c>
      <c r="AR49" s="3">
        <v>894.46783854166642</v>
      </c>
      <c r="AS49" s="3">
        <v>894.46783854166642</v>
      </c>
      <c r="AT49" s="3">
        <v>894.46783854166642</v>
      </c>
      <c r="AU49" s="3">
        <v>894.46783854166642</v>
      </c>
      <c r="AV49" s="3">
        <v>894.46783854166642</v>
      </c>
      <c r="AW49" s="3">
        <v>894.46783854166642</v>
      </c>
      <c r="AX49" s="3">
        <v>10733.614062499997</v>
      </c>
    </row>
    <row r="50" spans="22:50" x14ac:dyDescent="0.35">
      <c r="V50" s="2" t="s">
        <v>385</v>
      </c>
      <c r="W50" s="1" t="s">
        <v>2</v>
      </c>
      <c r="AF50" s="5" t="s">
        <v>384</v>
      </c>
      <c r="AG50" s="4" t="s">
        <v>88</v>
      </c>
      <c r="AH50" t="s">
        <v>269</v>
      </c>
      <c r="AI50" s="4" t="s">
        <v>83</v>
      </c>
      <c r="AJ50" t="s">
        <v>82</v>
      </c>
      <c r="AK50" t="s">
        <v>95</v>
      </c>
      <c r="AL50" s="3">
        <v>72.481901041666632</v>
      </c>
      <c r="AM50" s="3">
        <v>72.481901041666632</v>
      </c>
      <c r="AN50" s="3">
        <v>72.481901041666632</v>
      </c>
      <c r="AO50" s="3">
        <v>72.481901041666632</v>
      </c>
      <c r="AP50" s="3">
        <v>72.481901041666632</v>
      </c>
      <c r="AQ50" s="3">
        <v>72.481901041666632</v>
      </c>
      <c r="AR50" s="3">
        <v>72.481901041666632</v>
      </c>
      <c r="AS50" s="3">
        <v>72.481901041666632</v>
      </c>
      <c r="AT50" s="3">
        <v>72.481901041666632</v>
      </c>
      <c r="AU50" s="3">
        <v>72.481901041666632</v>
      </c>
      <c r="AV50" s="3">
        <v>72.481901041666632</v>
      </c>
      <c r="AW50" s="3">
        <v>72.481901041666632</v>
      </c>
      <c r="AX50" s="3">
        <v>869.78281249999975</v>
      </c>
    </row>
    <row r="51" spans="22:50" x14ac:dyDescent="0.35">
      <c r="V51" s="2" t="s">
        <v>383</v>
      </c>
      <c r="W51" s="1" t="s">
        <v>6</v>
      </c>
      <c r="AF51" s="4" t="s">
        <v>378</v>
      </c>
      <c r="AG51" s="4" t="s">
        <v>93</v>
      </c>
      <c r="AH51" t="s">
        <v>84</v>
      </c>
      <c r="AI51" s="4" t="s">
        <v>83</v>
      </c>
      <c r="AJ51" t="s">
        <v>101</v>
      </c>
      <c r="AK51" t="s">
        <v>95</v>
      </c>
      <c r="AL51" s="3">
        <v>4362.21</v>
      </c>
      <c r="AM51" s="3">
        <v>4362.21</v>
      </c>
      <c r="AN51" s="3">
        <v>4362.21</v>
      </c>
      <c r="AO51" s="3">
        <v>4362.21</v>
      </c>
      <c r="AP51" s="3">
        <v>4362.21</v>
      </c>
      <c r="AQ51" s="3">
        <v>4362.21</v>
      </c>
      <c r="AR51" s="3">
        <v>4362.21</v>
      </c>
      <c r="AS51" s="3">
        <v>4362.21</v>
      </c>
      <c r="AT51" s="3">
        <v>4362.21</v>
      </c>
      <c r="AU51" s="3">
        <v>4362.21</v>
      </c>
      <c r="AV51" s="3">
        <v>4362.21</v>
      </c>
      <c r="AW51" s="3">
        <v>4362.21</v>
      </c>
      <c r="AX51" s="3">
        <v>52346.52</v>
      </c>
    </row>
    <row r="52" spans="22:50" x14ac:dyDescent="0.35">
      <c r="V52" s="2" t="s">
        <v>382</v>
      </c>
      <c r="W52" s="1" t="s">
        <v>0</v>
      </c>
      <c r="AF52" s="4" t="s">
        <v>378</v>
      </c>
      <c r="AG52" s="4" t="s">
        <v>93</v>
      </c>
      <c r="AH52" t="s">
        <v>293</v>
      </c>
      <c r="AI52" s="4" t="s">
        <v>83</v>
      </c>
      <c r="AJ52" t="s">
        <v>101</v>
      </c>
      <c r="AK52" t="s">
        <v>95</v>
      </c>
      <c r="AL52" s="3">
        <v>2517.12</v>
      </c>
      <c r="AM52" s="3">
        <v>2517.12</v>
      </c>
      <c r="AN52" s="3">
        <v>2517.12</v>
      </c>
      <c r="AO52" s="3">
        <v>2517.12</v>
      </c>
      <c r="AP52" s="3">
        <v>2517.12</v>
      </c>
      <c r="AQ52" s="3">
        <v>2517.12</v>
      </c>
      <c r="AR52" s="3">
        <v>2517.12</v>
      </c>
      <c r="AS52" s="3">
        <v>2517.12</v>
      </c>
      <c r="AT52" s="3">
        <v>2517.12</v>
      </c>
      <c r="AU52" s="3">
        <v>2517.12</v>
      </c>
      <c r="AV52" s="3">
        <v>2517.12</v>
      </c>
      <c r="AW52" s="3">
        <v>2517.12</v>
      </c>
      <c r="AX52" s="3">
        <v>30205.439999999991</v>
      </c>
    </row>
    <row r="53" spans="22:50" x14ac:dyDescent="0.35">
      <c r="V53" s="2" t="s">
        <v>381</v>
      </c>
      <c r="W53" s="1" t="s">
        <v>6</v>
      </c>
      <c r="AF53" s="4" t="s">
        <v>378</v>
      </c>
      <c r="AG53" s="4" t="s">
        <v>88</v>
      </c>
      <c r="AH53" t="s">
        <v>84</v>
      </c>
      <c r="AI53" s="4" t="s">
        <v>83</v>
      </c>
      <c r="AJ53" t="s">
        <v>101</v>
      </c>
      <c r="AK53" t="s">
        <v>95</v>
      </c>
      <c r="AL53" s="3">
        <v>8039.49</v>
      </c>
      <c r="AM53" s="3">
        <v>8039.49</v>
      </c>
      <c r="AN53" s="3">
        <v>8039.49</v>
      </c>
      <c r="AO53" s="3">
        <v>8039.49</v>
      </c>
      <c r="AP53" s="3">
        <v>8039.49</v>
      </c>
      <c r="AQ53" s="3">
        <v>8039.49</v>
      </c>
      <c r="AR53" s="3">
        <v>8039.49</v>
      </c>
      <c r="AS53" s="3">
        <v>8039.49</v>
      </c>
      <c r="AT53" s="3">
        <v>8039.49</v>
      </c>
      <c r="AU53" s="3">
        <v>8039.49</v>
      </c>
      <c r="AV53" s="3">
        <v>8039.49</v>
      </c>
      <c r="AW53" s="3">
        <v>8039.49</v>
      </c>
      <c r="AX53" s="3">
        <v>96473.88</v>
      </c>
    </row>
    <row r="54" spans="22:50" x14ac:dyDescent="0.35">
      <c r="V54" s="2" t="s">
        <v>380</v>
      </c>
      <c r="W54" s="1" t="s">
        <v>2</v>
      </c>
      <c r="AF54" s="4" t="s">
        <v>378</v>
      </c>
      <c r="AG54" s="4" t="s">
        <v>88</v>
      </c>
      <c r="AH54" t="s">
        <v>293</v>
      </c>
      <c r="AI54" s="4" t="s">
        <v>83</v>
      </c>
      <c r="AJ54" t="s">
        <v>101</v>
      </c>
      <c r="AK54" t="s">
        <v>95</v>
      </c>
      <c r="AL54" s="3">
        <v>3583.49</v>
      </c>
      <c r="AM54" s="3">
        <v>3583.49</v>
      </c>
      <c r="AN54" s="3">
        <v>3583.49</v>
      </c>
      <c r="AO54" s="3">
        <v>3583.49</v>
      </c>
      <c r="AP54" s="3">
        <v>3583.49</v>
      </c>
      <c r="AQ54" s="3">
        <v>3583.49</v>
      </c>
      <c r="AR54" s="3">
        <v>3583.49</v>
      </c>
      <c r="AS54" s="3">
        <v>3583.49</v>
      </c>
      <c r="AT54" s="3">
        <v>3583.49</v>
      </c>
      <c r="AU54" s="3">
        <v>3583.49</v>
      </c>
      <c r="AV54" s="3">
        <v>3583.49</v>
      </c>
      <c r="AW54" s="3">
        <v>3583.49</v>
      </c>
      <c r="AX54" s="3">
        <v>43001.879999999983</v>
      </c>
    </row>
    <row r="55" spans="22:50" x14ac:dyDescent="0.35">
      <c r="V55" s="2" t="s">
        <v>379</v>
      </c>
      <c r="W55" s="1" t="s">
        <v>0</v>
      </c>
      <c r="AF55" s="5" t="s">
        <v>378</v>
      </c>
      <c r="AG55" s="4" t="s">
        <v>146</v>
      </c>
      <c r="AH55" t="s">
        <v>84</v>
      </c>
      <c r="AI55" s="4" t="s">
        <v>83</v>
      </c>
      <c r="AJ55" t="s">
        <v>82</v>
      </c>
      <c r="AK55" t="s">
        <v>95</v>
      </c>
      <c r="AL55" s="3">
        <v>2220.23</v>
      </c>
      <c r="AM55" s="3">
        <v>2220.23</v>
      </c>
      <c r="AN55" s="3">
        <v>2220.23</v>
      </c>
      <c r="AO55" s="3">
        <v>2220.23</v>
      </c>
      <c r="AP55" s="3">
        <v>2220.23</v>
      </c>
      <c r="AQ55" s="3">
        <v>2220.23</v>
      </c>
      <c r="AR55" s="3">
        <v>2220.23</v>
      </c>
      <c r="AS55" s="3">
        <v>2220.23</v>
      </c>
      <c r="AT55" s="3">
        <v>2220.23</v>
      </c>
      <c r="AU55" s="3">
        <v>2220.23</v>
      </c>
      <c r="AV55" s="3">
        <v>2220.23</v>
      </c>
      <c r="AW55" s="3">
        <v>2220.23</v>
      </c>
      <c r="AX55" s="3">
        <v>26642.76</v>
      </c>
    </row>
    <row r="56" spans="22:50" x14ac:dyDescent="0.35">
      <c r="V56" s="2" t="s">
        <v>377</v>
      </c>
      <c r="W56" s="1" t="s">
        <v>0</v>
      </c>
      <c r="AF56" s="4" t="s">
        <v>372</v>
      </c>
      <c r="AG56" s="4" t="s">
        <v>88</v>
      </c>
      <c r="AH56" t="s">
        <v>151</v>
      </c>
      <c r="AI56" s="4" t="s">
        <v>83</v>
      </c>
      <c r="AJ56" t="s">
        <v>96</v>
      </c>
      <c r="AK56" t="s">
        <v>81</v>
      </c>
      <c r="AL56" s="3">
        <v>1129.7103124999999</v>
      </c>
      <c r="AM56" s="3">
        <v>1129.7103124999999</v>
      </c>
      <c r="AN56" s="3">
        <v>1129.7103124999999</v>
      </c>
      <c r="AO56" s="3">
        <v>1129.7103124999999</v>
      </c>
      <c r="AP56" s="3">
        <v>1129.7103124999999</v>
      </c>
      <c r="AQ56" s="3">
        <v>1129.7103124999999</v>
      </c>
      <c r="AR56" s="3">
        <v>1129.7103124999999</v>
      </c>
      <c r="AS56" s="3">
        <v>1129.7103124999999</v>
      </c>
      <c r="AT56" s="3">
        <v>1129.7103124999999</v>
      </c>
      <c r="AU56" s="3">
        <v>1129.7103124999999</v>
      </c>
      <c r="AV56" s="3">
        <v>1129.7103124999999</v>
      </c>
      <c r="AW56" s="3">
        <v>1129.7103124999999</v>
      </c>
      <c r="AX56" s="3">
        <v>13556.523749999995</v>
      </c>
    </row>
    <row r="57" spans="22:50" x14ac:dyDescent="0.35">
      <c r="V57" s="2" t="s">
        <v>376</v>
      </c>
      <c r="W57" s="1" t="s">
        <v>0</v>
      </c>
      <c r="AF57" s="4" t="s">
        <v>372</v>
      </c>
      <c r="AG57" s="4" t="s">
        <v>88</v>
      </c>
      <c r="AH57" t="s">
        <v>375</v>
      </c>
      <c r="AI57" s="4" t="s">
        <v>83</v>
      </c>
      <c r="AJ57" t="s">
        <v>96</v>
      </c>
      <c r="AK57" t="s">
        <v>81</v>
      </c>
      <c r="AL57" s="3">
        <v>1437.8546875</v>
      </c>
      <c r="AM57" s="3">
        <v>1437.8546875</v>
      </c>
      <c r="AN57" s="3">
        <v>1437.8546875</v>
      </c>
      <c r="AO57" s="3">
        <v>1437.8546875</v>
      </c>
      <c r="AP57" s="3">
        <v>1437.8546875</v>
      </c>
      <c r="AQ57" s="3">
        <v>1437.8546875</v>
      </c>
      <c r="AR57" s="3">
        <v>1437.8546875</v>
      </c>
      <c r="AS57" s="3">
        <v>1437.8546875</v>
      </c>
      <c r="AT57" s="3">
        <v>1437.8546875</v>
      </c>
      <c r="AU57" s="3">
        <v>1437.8546875</v>
      </c>
      <c r="AV57" s="3">
        <v>1437.8546875</v>
      </c>
      <c r="AW57" s="3">
        <v>1437.8546875</v>
      </c>
      <c r="AX57" s="3">
        <v>17254.256249999995</v>
      </c>
    </row>
    <row r="58" spans="22:50" x14ac:dyDescent="0.35">
      <c r="V58" s="2" t="s">
        <v>374</v>
      </c>
      <c r="W58" s="1" t="s">
        <v>6</v>
      </c>
      <c r="AF58" s="4" t="s">
        <v>372</v>
      </c>
      <c r="AG58" s="4" t="s">
        <v>88</v>
      </c>
      <c r="AH58" t="s">
        <v>4</v>
      </c>
      <c r="AI58" s="4" t="s">
        <v>83</v>
      </c>
      <c r="AJ58" t="s">
        <v>96</v>
      </c>
      <c r="AK58" t="s">
        <v>81</v>
      </c>
      <c r="AL58" s="3">
        <v>1129.7103124999999</v>
      </c>
      <c r="AM58" s="3">
        <v>1129.7103124999999</v>
      </c>
      <c r="AN58" s="3">
        <v>1129.7103124999999</v>
      </c>
      <c r="AO58" s="3">
        <v>1129.7103124999999</v>
      </c>
      <c r="AP58" s="3">
        <v>1129.7103124999999</v>
      </c>
      <c r="AQ58" s="3">
        <v>1129.7103124999999</v>
      </c>
      <c r="AR58" s="3">
        <v>1129.7103124999999</v>
      </c>
      <c r="AS58" s="3">
        <v>1129.7103124999999</v>
      </c>
      <c r="AT58" s="3">
        <v>1129.7103124999999</v>
      </c>
      <c r="AU58" s="3">
        <v>1129.7103124999999</v>
      </c>
      <c r="AV58" s="3">
        <v>1129.7103124999999</v>
      </c>
      <c r="AW58" s="3">
        <v>1129.7103124999999</v>
      </c>
      <c r="AX58" s="3">
        <v>13556.523749999995</v>
      </c>
    </row>
    <row r="59" spans="22:50" x14ac:dyDescent="0.35">
      <c r="V59" s="2" t="s">
        <v>373</v>
      </c>
      <c r="W59" s="1" t="s">
        <v>0</v>
      </c>
      <c r="AF59" s="5" t="s">
        <v>372</v>
      </c>
      <c r="AG59" s="4" t="s">
        <v>88</v>
      </c>
      <c r="AH59" t="s">
        <v>3</v>
      </c>
      <c r="AI59" s="4" t="s">
        <v>83</v>
      </c>
      <c r="AJ59" t="s">
        <v>96</v>
      </c>
      <c r="AK59" t="s">
        <v>81</v>
      </c>
      <c r="AL59" s="3">
        <v>1437.8546875</v>
      </c>
      <c r="AM59" s="3">
        <v>1437.8546875</v>
      </c>
      <c r="AN59" s="3">
        <v>1437.8546875</v>
      </c>
      <c r="AO59" s="3">
        <v>1437.8546875</v>
      </c>
      <c r="AP59" s="3">
        <v>1437.8546875</v>
      </c>
      <c r="AQ59" s="3">
        <v>1437.8546875</v>
      </c>
      <c r="AR59" s="3">
        <v>1437.8546875</v>
      </c>
      <c r="AS59" s="3">
        <v>1437.8546875</v>
      </c>
      <c r="AT59" s="3">
        <v>1437.8546875</v>
      </c>
      <c r="AU59" s="3">
        <v>1437.8546875</v>
      </c>
      <c r="AV59" s="3">
        <v>1437.8546875</v>
      </c>
      <c r="AW59" s="3">
        <v>1437.8546875</v>
      </c>
      <c r="AX59" s="3">
        <v>17254.256249999995</v>
      </c>
    </row>
    <row r="60" spans="22:50" x14ac:dyDescent="0.35">
      <c r="V60" s="2" t="s">
        <v>371</v>
      </c>
      <c r="W60" s="1" t="s">
        <v>6</v>
      </c>
      <c r="AF60" s="4" t="s">
        <v>367</v>
      </c>
      <c r="AG60" s="4" t="s">
        <v>88</v>
      </c>
      <c r="AH60" t="s">
        <v>187</v>
      </c>
      <c r="AI60" s="4" t="s">
        <v>83</v>
      </c>
      <c r="AJ60" t="s">
        <v>209</v>
      </c>
      <c r="AK60" t="s">
        <v>95</v>
      </c>
      <c r="AL60" s="3"/>
      <c r="AM60" s="3"/>
      <c r="AN60" s="3"/>
      <c r="AO60" s="3"/>
      <c r="AP60" s="3"/>
      <c r="AQ60" s="3">
        <v>3000</v>
      </c>
      <c r="AR60" s="3"/>
      <c r="AS60" s="3"/>
      <c r="AT60" s="3"/>
      <c r="AU60" s="3"/>
      <c r="AV60" s="3"/>
      <c r="AW60" s="3">
        <v>3000</v>
      </c>
      <c r="AX60" s="3">
        <v>6000</v>
      </c>
    </row>
    <row r="61" spans="22:50" x14ac:dyDescent="0.35">
      <c r="V61" s="2" t="s">
        <v>370</v>
      </c>
      <c r="W61" s="1" t="s">
        <v>0</v>
      </c>
      <c r="AF61" s="4" t="s">
        <v>367</v>
      </c>
      <c r="AG61" s="4" t="s">
        <v>88</v>
      </c>
      <c r="AH61" t="s">
        <v>178</v>
      </c>
      <c r="AI61" s="4" t="s">
        <v>83</v>
      </c>
      <c r="AJ61" t="s">
        <v>209</v>
      </c>
      <c r="AK61" t="s">
        <v>95</v>
      </c>
      <c r="AL61" s="3"/>
      <c r="AM61" s="3"/>
      <c r="AN61" s="3"/>
      <c r="AO61" s="3">
        <v>1122</v>
      </c>
      <c r="AP61" s="3"/>
      <c r="AQ61" s="3"/>
      <c r="AR61" s="3"/>
      <c r="AS61" s="3"/>
      <c r="AT61" s="3">
        <v>1122</v>
      </c>
      <c r="AU61" s="3"/>
      <c r="AV61" s="3"/>
      <c r="AW61" s="3"/>
      <c r="AX61" s="3">
        <v>2244</v>
      </c>
    </row>
    <row r="62" spans="22:50" x14ac:dyDescent="0.35">
      <c r="V62" s="2" t="s">
        <v>369</v>
      </c>
      <c r="W62" s="1" t="s">
        <v>0</v>
      </c>
      <c r="AF62" s="4" t="s">
        <v>367</v>
      </c>
      <c r="AG62" s="4" t="s">
        <v>88</v>
      </c>
      <c r="AH62" t="s">
        <v>176</v>
      </c>
      <c r="AI62" s="4" t="s">
        <v>83</v>
      </c>
      <c r="AJ62" t="s">
        <v>209</v>
      </c>
      <c r="AK62" t="s">
        <v>95</v>
      </c>
      <c r="AL62" s="3"/>
      <c r="AM62" s="3"/>
      <c r="AN62" s="3"/>
      <c r="AO62" s="3"/>
      <c r="AP62" s="3"/>
      <c r="AQ62" s="3">
        <v>3000</v>
      </c>
      <c r="AR62" s="3"/>
      <c r="AS62" s="3"/>
      <c r="AT62" s="3"/>
      <c r="AU62" s="3"/>
      <c r="AV62" s="3"/>
      <c r="AW62" s="3">
        <v>3000</v>
      </c>
      <c r="AX62" s="3">
        <v>6000</v>
      </c>
    </row>
    <row r="63" spans="22:50" x14ac:dyDescent="0.35">
      <c r="V63" s="2" t="s">
        <v>368</v>
      </c>
      <c r="W63" s="1" t="s">
        <v>6</v>
      </c>
      <c r="AF63" s="5" t="s">
        <v>367</v>
      </c>
      <c r="AG63" s="4" t="s">
        <v>88</v>
      </c>
      <c r="AH63" t="s">
        <v>84</v>
      </c>
      <c r="AI63" s="4" t="s">
        <v>83</v>
      </c>
      <c r="AJ63" t="s">
        <v>82</v>
      </c>
      <c r="AK63" t="s">
        <v>95</v>
      </c>
      <c r="AL63" s="3">
        <v>1671</v>
      </c>
      <c r="AM63" s="3">
        <v>1671</v>
      </c>
      <c r="AN63" s="3">
        <v>1671</v>
      </c>
      <c r="AO63" s="3">
        <v>1671</v>
      </c>
      <c r="AP63" s="3">
        <v>1671</v>
      </c>
      <c r="AQ63" s="3">
        <v>1671</v>
      </c>
      <c r="AR63" s="3">
        <v>1671</v>
      </c>
      <c r="AS63" s="3">
        <v>1671</v>
      </c>
      <c r="AT63" s="3">
        <v>1671</v>
      </c>
      <c r="AU63" s="3">
        <v>1671</v>
      </c>
      <c r="AV63" s="3">
        <v>1671</v>
      </c>
      <c r="AW63" s="3">
        <v>1671</v>
      </c>
      <c r="AX63" s="3">
        <v>20052</v>
      </c>
    </row>
    <row r="64" spans="22:50" x14ac:dyDescent="0.35">
      <c r="V64" s="2" t="s">
        <v>366</v>
      </c>
      <c r="W64" s="1" t="s">
        <v>6</v>
      </c>
      <c r="AF64" s="4" t="s">
        <v>362</v>
      </c>
      <c r="AG64" s="4" t="s">
        <v>93</v>
      </c>
      <c r="AH64" t="s">
        <v>361</v>
      </c>
      <c r="AI64" s="4" t="s">
        <v>83</v>
      </c>
      <c r="AJ64" t="s">
        <v>265</v>
      </c>
      <c r="AK64" t="s">
        <v>81</v>
      </c>
      <c r="AL64" s="3">
        <v>4389</v>
      </c>
      <c r="AM64" s="3">
        <v>4389</v>
      </c>
      <c r="AN64" s="3">
        <v>4389</v>
      </c>
      <c r="AO64" s="3">
        <v>4389</v>
      </c>
      <c r="AP64" s="3">
        <v>4389</v>
      </c>
      <c r="AQ64" s="3">
        <v>4389</v>
      </c>
      <c r="AR64" s="3">
        <v>4389</v>
      </c>
      <c r="AS64" s="3">
        <v>4389</v>
      </c>
      <c r="AT64" s="3">
        <v>4389</v>
      </c>
      <c r="AU64" s="3">
        <v>4389</v>
      </c>
      <c r="AV64" s="3">
        <v>4389</v>
      </c>
      <c r="AW64" s="3">
        <v>4389</v>
      </c>
      <c r="AX64" s="3">
        <v>52668</v>
      </c>
    </row>
    <row r="65" spans="2:50" x14ac:dyDescent="0.35">
      <c r="V65" s="2" t="s">
        <v>365</v>
      </c>
      <c r="W65" s="1" t="s">
        <v>6</v>
      </c>
      <c r="AF65" s="4" t="s">
        <v>362</v>
      </c>
      <c r="AG65" s="4" t="s">
        <v>88</v>
      </c>
      <c r="AH65" t="s">
        <v>361</v>
      </c>
      <c r="AI65" s="4" t="s">
        <v>83</v>
      </c>
      <c r="AJ65" t="s">
        <v>82</v>
      </c>
      <c r="AK65" t="s">
        <v>81</v>
      </c>
      <c r="AL65" s="3"/>
      <c r="AM65" s="3">
        <v>10550.98</v>
      </c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10550.98</v>
      </c>
    </row>
    <row r="66" spans="2:50" x14ac:dyDescent="0.35">
      <c r="B66" t="s">
        <v>364</v>
      </c>
      <c r="V66" s="2" t="s">
        <v>363</v>
      </c>
      <c r="W66" s="1" t="s">
        <v>2</v>
      </c>
      <c r="AF66" s="5" t="s">
        <v>362</v>
      </c>
      <c r="AG66" s="4" t="s">
        <v>88</v>
      </c>
      <c r="AH66" t="s">
        <v>361</v>
      </c>
      <c r="AI66" s="4" t="s">
        <v>83</v>
      </c>
      <c r="AJ66" t="s">
        <v>265</v>
      </c>
      <c r="AK66" t="s">
        <v>81</v>
      </c>
      <c r="AL66" s="3">
        <v>3718</v>
      </c>
      <c r="AM66" s="3">
        <v>3718</v>
      </c>
      <c r="AN66" s="3">
        <v>3718</v>
      </c>
      <c r="AO66" s="3">
        <v>3718</v>
      </c>
      <c r="AP66" s="3">
        <v>3718</v>
      </c>
      <c r="AQ66" s="3">
        <v>3718</v>
      </c>
      <c r="AR66" s="3">
        <v>3718</v>
      </c>
      <c r="AS66" s="3">
        <v>3718</v>
      </c>
      <c r="AT66" s="3">
        <v>3718</v>
      </c>
      <c r="AU66" s="3">
        <v>3718</v>
      </c>
      <c r="AV66" s="3">
        <v>3718</v>
      </c>
      <c r="AW66" s="3">
        <v>3718</v>
      </c>
      <c r="AX66" s="3">
        <v>44616</v>
      </c>
    </row>
    <row r="67" spans="2:50" x14ac:dyDescent="0.35">
      <c r="V67" s="2" t="s">
        <v>360</v>
      </c>
      <c r="W67" s="1" t="s">
        <v>2</v>
      </c>
      <c r="AF67" s="4" t="s">
        <v>358</v>
      </c>
      <c r="AG67" s="4" t="s">
        <v>93</v>
      </c>
      <c r="AH67" t="s">
        <v>293</v>
      </c>
      <c r="AI67" s="4" t="s">
        <v>83</v>
      </c>
      <c r="AJ67" t="s">
        <v>101</v>
      </c>
      <c r="AK67" t="s">
        <v>81</v>
      </c>
      <c r="AL67" s="3">
        <v>307.20000000000005</v>
      </c>
      <c r="AM67" s="3">
        <v>307.20000000000005</v>
      </c>
      <c r="AN67" s="3">
        <v>307.20000000000005</v>
      </c>
      <c r="AO67" s="3">
        <v>307.20000000000005</v>
      </c>
      <c r="AP67" s="3">
        <v>307.20000000000005</v>
      </c>
      <c r="AQ67" s="3">
        <v>307.20000000000005</v>
      </c>
      <c r="AR67" s="3">
        <v>307.20000000000005</v>
      </c>
      <c r="AS67" s="3">
        <v>307.20000000000005</v>
      </c>
      <c r="AT67" s="3">
        <v>307.20000000000005</v>
      </c>
      <c r="AU67" s="3">
        <v>307.20000000000005</v>
      </c>
      <c r="AV67" s="3">
        <v>307.20000000000005</v>
      </c>
      <c r="AW67" s="3">
        <v>307.20000000000005</v>
      </c>
      <c r="AX67" s="3">
        <v>3686.3999999999996</v>
      </c>
    </row>
    <row r="68" spans="2:50" x14ac:dyDescent="0.35">
      <c r="V68" s="2" t="s">
        <v>359</v>
      </c>
      <c r="W68" s="1" t="s">
        <v>0</v>
      </c>
      <c r="AF68" s="5" t="s">
        <v>358</v>
      </c>
      <c r="AG68" s="4" t="s">
        <v>88</v>
      </c>
      <c r="AH68" t="s">
        <v>293</v>
      </c>
      <c r="AI68" s="4" t="s">
        <v>83</v>
      </c>
      <c r="AJ68" t="s">
        <v>101</v>
      </c>
      <c r="AK68" t="s">
        <v>81</v>
      </c>
      <c r="AL68" s="3">
        <v>1228.8000000000002</v>
      </c>
      <c r="AM68" s="3">
        <v>1228.8000000000002</v>
      </c>
      <c r="AN68" s="3">
        <v>1228.8000000000002</v>
      </c>
      <c r="AO68" s="3">
        <v>1228.8000000000002</v>
      </c>
      <c r="AP68" s="3">
        <v>1228.8000000000002</v>
      </c>
      <c r="AQ68" s="3">
        <v>1228.8000000000002</v>
      </c>
      <c r="AR68" s="3">
        <v>1228.8000000000002</v>
      </c>
      <c r="AS68" s="3">
        <v>1228.8000000000002</v>
      </c>
      <c r="AT68" s="3">
        <v>1228.8000000000002</v>
      </c>
      <c r="AU68" s="3">
        <v>1228.8000000000002</v>
      </c>
      <c r="AV68" s="3">
        <v>1228.8000000000002</v>
      </c>
      <c r="AW68" s="3">
        <v>1228.8000000000002</v>
      </c>
      <c r="AX68" s="3">
        <v>14745.599999999999</v>
      </c>
    </row>
    <row r="69" spans="2:50" x14ac:dyDescent="0.35">
      <c r="V69" s="2" t="s">
        <v>357</v>
      </c>
      <c r="W69" s="1" t="s">
        <v>6</v>
      </c>
      <c r="AF69" s="4" t="s">
        <v>351</v>
      </c>
      <c r="AG69" s="4" t="s">
        <v>88</v>
      </c>
      <c r="AH69" t="s">
        <v>356</v>
      </c>
      <c r="AI69" s="4" t="s">
        <v>83</v>
      </c>
      <c r="AJ69" t="s">
        <v>145</v>
      </c>
      <c r="AK69" t="s">
        <v>81</v>
      </c>
      <c r="AL69" s="3">
        <v>156.75</v>
      </c>
      <c r="AM69" s="3">
        <v>156.75</v>
      </c>
      <c r="AN69" s="3">
        <v>156.75</v>
      </c>
      <c r="AO69" s="3">
        <v>156.75</v>
      </c>
      <c r="AP69" s="3">
        <v>156.75</v>
      </c>
      <c r="AQ69" s="3">
        <v>156.75</v>
      </c>
      <c r="AR69" s="3">
        <v>156.75</v>
      </c>
      <c r="AS69" s="3">
        <v>156.75</v>
      </c>
      <c r="AT69" s="3">
        <v>156.75</v>
      </c>
      <c r="AU69" s="3">
        <v>156.75</v>
      </c>
      <c r="AV69" s="3">
        <v>156.75</v>
      </c>
      <c r="AW69" s="3">
        <v>156.75</v>
      </c>
      <c r="AX69" s="3">
        <v>1881</v>
      </c>
    </row>
    <row r="70" spans="2:50" x14ac:dyDescent="0.35">
      <c r="V70" s="2" t="s">
        <v>355</v>
      </c>
      <c r="W70" s="1" t="s">
        <v>6</v>
      </c>
      <c r="AF70" s="4" t="s">
        <v>351</v>
      </c>
      <c r="AG70" s="4" t="s">
        <v>88</v>
      </c>
      <c r="AH70" t="s">
        <v>278</v>
      </c>
      <c r="AI70" s="4" t="s">
        <v>83</v>
      </c>
      <c r="AJ70" t="s">
        <v>145</v>
      </c>
      <c r="AK70" t="s">
        <v>81</v>
      </c>
      <c r="AL70" s="3">
        <v>555.58333333333337</v>
      </c>
      <c r="AM70" s="3">
        <v>555.58333333333337</v>
      </c>
      <c r="AN70" s="3">
        <v>555.58333333333337</v>
      </c>
      <c r="AO70" s="3">
        <v>555.58333333333337</v>
      </c>
      <c r="AP70" s="3">
        <v>555.58333333333337</v>
      </c>
      <c r="AQ70" s="3">
        <v>555.58333333333337</v>
      </c>
      <c r="AR70" s="3">
        <v>555.58333333333337</v>
      </c>
      <c r="AS70" s="3">
        <v>555.58333333333337</v>
      </c>
      <c r="AT70" s="3">
        <v>555.58333333333337</v>
      </c>
      <c r="AU70" s="3">
        <v>555.58333333333337</v>
      </c>
      <c r="AV70" s="3">
        <v>555.58333333333337</v>
      </c>
      <c r="AW70" s="3">
        <v>555.58333333333337</v>
      </c>
      <c r="AX70" s="3">
        <v>6666.9999999999991</v>
      </c>
    </row>
    <row r="71" spans="2:50" x14ac:dyDescent="0.35">
      <c r="V71" s="2" t="s">
        <v>354</v>
      </c>
      <c r="W71" s="1" t="s">
        <v>0</v>
      </c>
      <c r="AF71" s="4" t="s">
        <v>351</v>
      </c>
      <c r="AG71" s="4" t="s">
        <v>88</v>
      </c>
      <c r="AH71" t="s">
        <v>165</v>
      </c>
      <c r="AI71" s="4" t="s">
        <v>83</v>
      </c>
      <c r="AJ71" t="s">
        <v>145</v>
      </c>
      <c r="AK71" t="s">
        <v>81</v>
      </c>
      <c r="AL71" s="3">
        <v>313.5</v>
      </c>
      <c r="AM71" s="3">
        <v>313.5</v>
      </c>
      <c r="AN71" s="3">
        <v>313.5</v>
      </c>
      <c r="AO71" s="3">
        <v>313.5</v>
      </c>
      <c r="AP71" s="3">
        <v>313.5</v>
      </c>
      <c r="AQ71" s="3">
        <v>313.5</v>
      </c>
      <c r="AR71" s="3">
        <v>313.5</v>
      </c>
      <c r="AS71" s="3">
        <v>313.5</v>
      </c>
      <c r="AT71" s="3">
        <v>313.5</v>
      </c>
      <c r="AU71" s="3">
        <v>313.5</v>
      </c>
      <c r="AV71" s="3">
        <v>313.5</v>
      </c>
      <c r="AW71" s="3">
        <v>313.5</v>
      </c>
      <c r="AX71" s="3">
        <v>3762</v>
      </c>
    </row>
    <row r="72" spans="2:50" x14ac:dyDescent="0.35">
      <c r="V72" s="2" t="s">
        <v>353</v>
      </c>
      <c r="W72" s="1" t="s">
        <v>6</v>
      </c>
      <c r="AF72" s="4" t="s">
        <v>351</v>
      </c>
      <c r="AG72" s="4" t="s">
        <v>88</v>
      </c>
      <c r="AH72" t="s">
        <v>350</v>
      </c>
      <c r="AI72" s="4" t="s">
        <v>83</v>
      </c>
      <c r="AJ72" t="s">
        <v>145</v>
      </c>
      <c r="AK72" t="s">
        <v>81</v>
      </c>
      <c r="AL72" s="3">
        <v>494.75</v>
      </c>
      <c r="AM72" s="3">
        <v>494.75</v>
      </c>
      <c r="AN72" s="3">
        <v>494.75</v>
      </c>
      <c r="AO72" s="3">
        <v>494.75</v>
      </c>
      <c r="AP72" s="3">
        <v>494.75</v>
      </c>
      <c r="AQ72" s="3">
        <v>494.75</v>
      </c>
      <c r="AR72" s="3">
        <v>494.75</v>
      </c>
      <c r="AS72" s="3">
        <v>494.75</v>
      </c>
      <c r="AT72" s="3">
        <v>494.75</v>
      </c>
      <c r="AU72" s="3">
        <v>494.75</v>
      </c>
      <c r="AV72" s="3">
        <v>494.75</v>
      </c>
      <c r="AW72" s="3">
        <v>494.75</v>
      </c>
      <c r="AX72" s="3">
        <v>5937</v>
      </c>
    </row>
    <row r="73" spans="2:50" x14ac:dyDescent="0.35">
      <c r="V73" s="2" t="s">
        <v>252</v>
      </c>
      <c r="W73" s="1" t="s">
        <v>0</v>
      </c>
      <c r="AF73" s="4" t="s">
        <v>351</v>
      </c>
      <c r="AG73" s="4" t="s">
        <v>146</v>
      </c>
      <c r="AH73" t="s">
        <v>165</v>
      </c>
      <c r="AI73" s="4" t="s">
        <v>83</v>
      </c>
      <c r="AJ73" t="s">
        <v>145</v>
      </c>
      <c r="AK73" t="s">
        <v>81</v>
      </c>
      <c r="AL73" s="3">
        <v>188.08333333333334</v>
      </c>
      <c r="AM73" s="3">
        <v>188.08333333333334</v>
      </c>
      <c r="AN73" s="3">
        <v>188.08333333333334</v>
      </c>
      <c r="AO73" s="3">
        <v>188.08333333333334</v>
      </c>
      <c r="AP73" s="3">
        <v>188.08333333333334</v>
      </c>
      <c r="AQ73" s="3">
        <v>188.08333333333334</v>
      </c>
      <c r="AR73" s="3">
        <v>188.08333333333334</v>
      </c>
      <c r="AS73" s="3">
        <v>188.08333333333334</v>
      </c>
      <c r="AT73" s="3">
        <v>188.08333333333334</v>
      </c>
      <c r="AU73" s="3">
        <v>188.08333333333334</v>
      </c>
      <c r="AV73" s="3">
        <v>188.08333333333334</v>
      </c>
      <c r="AW73" s="3">
        <v>188.08333333333334</v>
      </c>
      <c r="AX73" s="3">
        <v>2257</v>
      </c>
    </row>
    <row r="74" spans="2:50" x14ac:dyDescent="0.35">
      <c r="V74" s="2" t="s">
        <v>352</v>
      </c>
      <c r="W74" s="1" t="s">
        <v>0</v>
      </c>
      <c r="AF74" s="5" t="s">
        <v>351</v>
      </c>
      <c r="AG74" s="4" t="s">
        <v>146</v>
      </c>
      <c r="AH74" t="s">
        <v>350</v>
      </c>
      <c r="AI74" s="4" t="s">
        <v>83</v>
      </c>
      <c r="AJ74" t="s">
        <v>145</v>
      </c>
      <c r="AK74" t="s">
        <v>81</v>
      </c>
      <c r="AL74" s="3">
        <v>296.83333333333331</v>
      </c>
      <c r="AM74" s="3">
        <v>296.83333333333331</v>
      </c>
      <c r="AN74" s="3">
        <v>296.83333333333331</v>
      </c>
      <c r="AO74" s="3">
        <v>296.83333333333331</v>
      </c>
      <c r="AP74" s="3">
        <v>296.83333333333331</v>
      </c>
      <c r="AQ74" s="3">
        <v>296.83333333333331</v>
      </c>
      <c r="AR74" s="3">
        <v>296.83333333333331</v>
      </c>
      <c r="AS74" s="3">
        <v>296.83333333333331</v>
      </c>
      <c r="AT74" s="3">
        <v>296.83333333333331</v>
      </c>
      <c r="AU74" s="3">
        <v>296.83333333333331</v>
      </c>
      <c r="AV74" s="3">
        <v>296.83333333333331</v>
      </c>
      <c r="AW74" s="3">
        <v>296.83333333333331</v>
      </c>
      <c r="AX74" s="3">
        <v>3562.0000000000005</v>
      </c>
    </row>
    <row r="75" spans="2:50" x14ac:dyDescent="0.35">
      <c r="V75" s="2" t="s">
        <v>349</v>
      </c>
      <c r="W75" s="1" t="s">
        <v>2</v>
      </c>
      <c r="AF75" s="5" t="s">
        <v>348</v>
      </c>
      <c r="AG75" s="4" t="s">
        <v>88</v>
      </c>
      <c r="AH75" t="s">
        <v>347</v>
      </c>
      <c r="AI75" s="4" t="s">
        <v>83</v>
      </c>
      <c r="AJ75" t="s">
        <v>145</v>
      </c>
      <c r="AK75" t="s">
        <v>81</v>
      </c>
      <c r="AL75" s="3">
        <v>429</v>
      </c>
      <c r="AM75" s="3">
        <v>429</v>
      </c>
      <c r="AN75" s="3">
        <v>429</v>
      </c>
      <c r="AO75" s="3">
        <v>429</v>
      </c>
      <c r="AP75" s="3">
        <v>429</v>
      </c>
      <c r="AQ75" s="3">
        <v>429</v>
      </c>
      <c r="AR75" s="3">
        <v>429</v>
      </c>
      <c r="AS75" s="3">
        <v>429</v>
      </c>
      <c r="AT75" s="3">
        <v>429</v>
      </c>
      <c r="AU75" s="3">
        <v>429</v>
      </c>
      <c r="AV75" s="3">
        <v>429</v>
      </c>
      <c r="AW75" s="3">
        <v>429</v>
      </c>
      <c r="AX75" s="3">
        <v>5148</v>
      </c>
    </row>
    <row r="76" spans="2:50" x14ac:dyDescent="0.35">
      <c r="V76" s="2" t="s">
        <v>346</v>
      </c>
      <c r="W76" s="1" t="s">
        <v>6</v>
      </c>
      <c r="AF76" s="4" t="s">
        <v>344</v>
      </c>
      <c r="AG76" s="4" t="s">
        <v>88</v>
      </c>
      <c r="AH76" t="s">
        <v>97</v>
      </c>
      <c r="AI76" s="4" t="s">
        <v>83</v>
      </c>
      <c r="AJ76" t="s">
        <v>82</v>
      </c>
      <c r="AK76" t="s">
        <v>95</v>
      </c>
      <c r="AL76" s="3">
        <v>2228.9280000000003</v>
      </c>
      <c r="AM76" s="3">
        <v>2228.9280000000003</v>
      </c>
      <c r="AN76" s="3">
        <v>2228.9280000000003</v>
      </c>
      <c r="AO76" s="3">
        <v>2228.9280000000003</v>
      </c>
      <c r="AP76" s="3">
        <v>2228.9280000000003</v>
      </c>
      <c r="AQ76" s="3">
        <v>2228.9280000000003</v>
      </c>
      <c r="AR76" s="3">
        <v>2228.9280000000003</v>
      </c>
      <c r="AS76" s="3">
        <v>2228.9280000000003</v>
      </c>
      <c r="AT76" s="3">
        <v>2228.9280000000003</v>
      </c>
      <c r="AU76" s="3">
        <v>2228.9280000000003</v>
      </c>
      <c r="AV76" s="3">
        <v>2228.9280000000003</v>
      </c>
      <c r="AW76" s="3">
        <v>2228.9280000000003</v>
      </c>
      <c r="AX76" s="3">
        <v>26747.136000000002</v>
      </c>
    </row>
    <row r="77" spans="2:50" x14ac:dyDescent="0.35">
      <c r="V77" s="2" t="s">
        <v>345</v>
      </c>
      <c r="W77" s="1" t="s">
        <v>6</v>
      </c>
      <c r="AF77" s="5" t="s">
        <v>344</v>
      </c>
      <c r="AG77" s="4" t="s">
        <v>88</v>
      </c>
      <c r="AH77" t="s">
        <v>252</v>
      </c>
      <c r="AI77" s="4" t="s">
        <v>83</v>
      </c>
      <c r="AJ77" t="s">
        <v>82</v>
      </c>
      <c r="AK77" t="s">
        <v>95</v>
      </c>
      <c r="AL77" s="3">
        <v>1155.7728</v>
      </c>
      <c r="AM77" s="3">
        <v>1155.7728</v>
      </c>
      <c r="AN77" s="3">
        <v>1155.7728</v>
      </c>
      <c r="AO77" s="3">
        <v>1155.7728</v>
      </c>
      <c r="AP77" s="3">
        <v>1155.7728</v>
      </c>
      <c r="AQ77" s="3">
        <v>1155.7728</v>
      </c>
      <c r="AR77" s="3">
        <v>1155.7728</v>
      </c>
      <c r="AS77" s="3">
        <v>1155.7728</v>
      </c>
      <c r="AT77" s="3">
        <v>1155.7728</v>
      </c>
      <c r="AU77" s="3">
        <v>1155.7728</v>
      </c>
      <c r="AV77" s="3">
        <v>1155.7728</v>
      </c>
      <c r="AW77" s="3">
        <v>1155.7728</v>
      </c>
      <c r="AX77" s="3">
        <v>13869.273600000002</v>
      </c>
    </row>
    <row r="78" spans="2:50" x14ac:dyDescent="0.35">
      <c r="V78" s="2" t="s">
        <v>343</v>
      </c>
      <c r="W78" s="1" t="s">
        <v>2</v>
      </c>
      <c r="AF78" s="5" t="s">
        <v>342</v>
      </c>
      <c r="AG78" s="4" t="s">
        <v>88</v>
      </c>
      <c r="AH78" t="s">
        <v>341</v>
      </c>
      <c r="AI78" s="4" t="s">
        <v>83</v>
      </c>
      <c r="AJ78" t="s">
        <v>82</v>
      </c>
      <c r="AK78" t="s">
        <v>81</v>
      </c>
      <c r="AL78" s="3"/>
      <c r="AM78" s="3"/>
      <c r="AN78" s="3">
        <v>4592.5</v>
      </c>
      <c r="AO78" s="3"/>
      <c r="AP78" s="3"/>
      <c r="AQ78" s="3">
        <v>4592.5</v>
      </c>
      <c r="AR78" s="3"/>
      <c r="AS78" s="3"/>
      <c r="AT78" s="3">
        <v>4592.5</v>
      </c>
      <c r="AU78" s="3"/>
      <c r="AV78" s="3"/>
      <c r="AW78" s="3">
        <v>4592.5</v>
      </c>
      <c r="AX78" s="3">
        <v>18370</v>
      </c>
    </row>
    <row r="79" spans="2:50" x14ac:dyDescent="0.35">
      <c r="V79" s="2" t="s">
        <v>340</v>
      </c>
      <c r="W79" s="1" t="s">
        <v>6</v>
      </c>
      <c r="AF79" s="4" t="s">
        <v>330</v>
      </c>
      <c r="AG79" s="4" t="s">
        <v>93</v>
      </c>
      <c r="AH79" t="s">
        <v>337</v>
      </c>
      <c r="AI79" s="4" t="s">
        <v>83</v>
      </c>
      <c r="AJ79" t="s">
        <v>101</v>
      </c>
      <c r="AK79" t="s">
        <v>172</v>
      </c>
      <c r="AL79" s="3">
        <v>1071.3010687500002</v>
      </c>
      <c r="AM79" s="3">
        <v>1071.3010687500002</v>
      </c>
      <c r="AN79" s="3">
        <v>1071.3010687500002</v>
      </c>
      <c r="AO79" s="3">
        <v>1071.3010687500002</v>
      </c>
      <c r="AP79" s="3">
        <v>1071.3010687500002</v>
      </c>
      <c r="AQ79" s="3">
        <v>1071.3010687500002</v>
      </c>
      <c r="AR79" s="3">
        <v>1071.3010687500002</v>
      </c>
      <c r="AS79" s="3">
        <v>1071.3010687500002</v>
      </c>
      <c r="AT79" s="3">
        <v>1071.3010687500002</v>
      </c>
      <c r="AU79" s="3">
        <v>1071.3010687500002</v>
      </c>
      <c r="AV79" s="3">
        <v>1071.3010687500002</v>
      </c>
      <c r="AW79" s="3">
        <v>1071.3010687500002</v>
      </c>
      <c r="AX79" s="3">
        <v>12855.612825000006</v>
      </c>
    </row>
    <row r="80" spans="2:50" x14ac:dyDescent="0.35">
      <c r="V80" s="2" t="s">
        <v>339</v>
      </c>
      <c r="W80" s="1" t="s">
        <v>2</v>
      </c>
      <c r="AF80" s="4" t="s">
        <v>330</v>
      </c>
      <c r="AG80" s="4" t="s">
        <v>93</v>
      </c>
      <c r="AH80" t="s">
        <v>335</v>
      </c>
      <c r="AI80" s="4" t="s">
        <v>83</v>
      </c>
      <c r="AJ80" t="s">
        <v>101</v>
      </c>
      <c r="AK80" t="s">
        <v>172</v>
      </c>
      <c r="AL80" s="3">
        <v>1310.8172187500002</v>
      </c>
      <c r="AM80" s="3">
        <v>1310.8172187500002</v>
      </c>
      <c r="AN80" s="3">
        <v>524.32688750000011</v>
      </c>
      <c r="AO80" s="3">
        <v>524.32688750000011</v>
      </c>
      <c r="AP80" s="3">
        <v>524.32688750000011</v>
      </c>
      <c r="AQ80" s="3">
        <v>524.32688750000011</v>
      </c>
      <c r="AR80" s="3">
        <v>524.32688750000011</v>
      </c>
      <c r="AS80" s="3">
        <v>524.32688750000011</v>
      </c>
      <c r="AT80" s="3">
        <v>524.32688750000011</v>
      </c>
      <c r="AU80" s="3">
        <v>524.32688750000011</v>
      </c>
      <c r="AV80" s="3">
        <v>524.32688750000011</v>
      </c>
      <c r="AW80" s="3">
        <v>524.32688750000011</v>
      </c>
      <c r="AX80" s="3">
        <v>7864.9033125000033</v>
      </c>
    </row>
    <row r="81" spans="22:50" x14ac:dyDescent="0.35">
      <c r="V81" s="2" t="s">
        <v>338</v>
      </c>
      <c r="W81" s="1" t="s">
        <v>2</v>
      </c>
      <c r="AF81" s="4" t="s">
        <v>330</v>
      </c>
      <c r="AG81" s="4" t="s">
        <v>88</v>
      </c>
      <c r="AH81" t="s">
        <v>337</v>
      </c>
      <c r="AI81" s="4" t="s">
        <v>83</v>
      </c>
      <c r="AJ81" t="s">
        <v>101</v>
      </c>
      <c r="AK81" t="s">
        <v>172</v>
      </c>
      <c r="AL81" s="3">
        <v>4285.204275000001</v>
      </c>
      <c r="AM81" s="3">
        <v>4285.204275000001</v>
      </c>
      <c r="AN81" s="3">
        <v>4285.204275000001</v>
      </c>
      <c r="AO81" s="3">
        <v>4285.204275000001</v>
      </c>
      <c r="AP81" s="3">
        <v>4285.204275000001</v>
      </c>
      <c r="AQ81" s="3">
        <v>4285.204275000001</v>
      </c>
      <c r="AR81" s="3">
        <v>4285.204275000001</v>
      </c>
      <c r="AS81" s="3">
        <v>4285.204275000001</v>
      </c>
      <c r="AT81" s="3">
        <v>4285.204275000001</v>
      </c>
      <c r="AU81" s="3">
        <v>4285.204275000001</v>
      </c>
      <c r="AV81" s="3">
        <v>4285.204275000001</v>
      </c>
      <c r="AW81" s="3">
        <v>4285.204275000001</v>
      </c>
      <c r="AX81" s="3">
        <v>51422.451300000022</v>
      </c>
    </row>
    <row r="82" spans="22:50" x14ac:dyDescent="0.35">
      <c r="V82" s="2" t="s">
        <v>336</v>
      </c>
      <c r="W82" s="1" t="s">
        <v>0</v>
      </c>
      <c r="AF82" s="4" t="s">
        <v>330</v>
      </c>
      <c r="AG82" s="4" t="s">
        <v>88</v>
      </c>
      <c r="AH82" t="s">
        <v>335</v>
      </c>
      <c r="AI82" s="4" t="s">
        <v>83</v>
      </c>
      <c r="AJ82" t="s">
        <v>101</v>
      </c>
      <c r="AK82" t="s">
        <v>172</v>
      </c>
      <c r="AL82" s="3">
        <v>5243.2688750000007</v>
      </c>
      <c r="AM82" s="3">
        <v>5243.2688750000007</v>
      </c>
      <c r="AN82" s="3">
        <v>2097.3075500000004</v>
      </c>
      <c r="AO82" s="3">
        <v>2097.3075500000004</v>
      </c>
      <c r="AP82" s="3">
        <v>2097.3075500000004</v>
      </c>
      <c r="AQ82" s="3">
        <v>2097.3075500000004</v>
      </c>
      <c r="AR82" s="3">
        <v>2097.3075500000004</v>
      </c>
      <c r="AS82" s="3">
        <v>2097.3075500000004</v>
      </c>
      <c r="AT82" s="3">
        <v>2097.3075500000004</v>
      </c>
      <c r="AU82" s="3">
        <v>2097.3075500000004</v>
      </c>
      <c r="AV82" s="3">
        <v>2097.3075500000004</v>
      </c>
      <c r="AW82" s="3">
        <v>2097.3075500000004</v>
      </c>
      <c r="AX82" s="3">
        <v>31459.613250000013</v>
      </c>
    </row>
    <row r="83" spans="22:50" x14ac:dyDescent="0.35">
      <c r="V83" s="2" t="s">
        <v>334</v>
      </c>
      <c r="W83" s="1" t="s">
        <v>2</v>
      </c>
      <c r="AF83" s="4" t="s">
        <v>330</v>
      </c>
      <c r="AG83" s="4" t="s">
        <v>88</v>
      </c>
      <c r="AH83" t="s">
        <v>297</v>
      </c>
      <c r="AI83" s="4" t="s">
        <v>83</v>
      </c>
      <c r="AJ83" t="s">
        <v>101</v>
      </c>
      <c r="AK83" t="s">
        <v>172</v>
      </c>
      <c r="AL83" s="3">
        <v>5212.2406874999997</v>
      </c>
      <c r="AM83" s="3">
        <v>5212.2406874999997</v>
      </c>
      <c r="AN83" s="3">
        <v>5212.2406874999997</v>
      </c>
      <c r="AO83" s="3">
        <v>5212.2406874999997</v>
      </c>
      <c r="AP83" s="3">
        <v>5212.2406874999997</v>
      </c>
      <c r="AQ83" s="3">
        <v>5212.2406874999997</v>
      </c>
      <c r="AR83" s="3">
        <v>5212.2406874999997</v>
      </c>
      <c r="AS83" s="3">
        <v>5212.2406874999997</v>
      </c>
      <c r="AT83" s="3">
        <v>5212.2406874999997</v>
      </c>
      <c r="AU83" s="3">
        <v>5212.2406874999997</v>
      </c>
      <c r="AV83" s="3">
        <v>5212.2406874999997</v>
      </c>
      <c r="AW83" s="3">
        <v>5212.2406874999997</v>
      </c>
      <c r="AX83" s="3">
        <v>62546.888250000011</v>
      </c>
    </row>
    <row r="84" spans="22:50" x14ac:dyDescent="0.35">
      <c r="V84" s="2" t="s">
        <v>333</v>
      </c>
      <c r="W84" s="1" t="s">
        <v>0</v>
      </c>
      <c r="AF84" s="4" t="s">
        <v>330</v>
      </c>
      <c r="AG84" s="4" t="s">
        <v>88</v>
      </c>
      <c r="AH84" t="s">
        <v>295</v>
      </c>
      <c r="AI84" s="4" t="s">
        <v>83</v>
      </c>
      <c r="AJ84" t="s">
        <v>101</v>
      </c>
      <c r="AK84" t="s">
        <v>172</v>
      </c>
      <c r="AL84" s="3">
        <v>2561.9488125000003</v>
      </c>
      <c r="AM84" s="3">
        <v>2561.9488125000003</v>
      </c>
      <c r="AN84" s="3">
        <v>2561.9488125000003</v>
      </c>
      <c r="AO84" s="3">
        <v>2561.9488125000003</v>
      </c>
      <c r="AP84" s="3">
        <v>2561.9488125000003</v>
      </c>
      <c r="AQ84" s="3">
        <v>2561.9488125000003</v>
      </c>
      <c r="AR84" s="3">
        <v>2561.9488125000003</v>
      </c>
      <c r="AS84" s="3">
        <v>2561.9488125000003</v>
      </c>
      <c r="AT84" s="3">
        <v>2561.9488125000003</v>
      </c>
      <c r="AU84" s="3">
        <v>2561.9488125000003</v>
      </c>
      <c r="AV84" s="3">
        <v>2561.9488125000003</v>
      </c>
      <c r="AW84" s="3">
        <v>2561.9488125000003</v>
      </c>
      <c r="AX84" s="3">
        <v>30743.385749999998</v>
      </c>
    </row>
    <row r="85" spans="22:50" x14ac:dyDescent="0.35">
      <c r="V85" s="2" t="s">
        <v>332</v>
      </c>
      <c r="W85" s="1" t="s">
        <v>2</v>
      </c>
      <c r="AF85" s="4" t="s">
        <v>330</v>
      </c>
      <c r="AG85" s="4" t="s">
        <v>88</v>
      </c>
      <c r="AH85" t="s">
        <v>293</v>
      </c>
      <c r="AI85" s="4" t="s">
        <v>83</v>
      </c>
      <c r="AJ85" t="s">
        <v>101</v>
      </c>
      <c r="AK85" t="s">
        <v>172</v>
      </c>
      <c r="AL85" s="3">
        <v>3975.4378124999998</v>
      </c>
      <c r="AM85" s="3">
        <v>3975.4378124999998</v>
      </c>
      <c r="AN85" s="3">
        <v>3975.4378124999998</v>
      </c>
      <c r="AO85" s="3">
        <v>3975.4378124999998</v>
      </c>
      <c r="AP85" s="3">
        <v>3975.4378124999998</v>
      </c>
      <c r="AQ85" s="3">
        <v>3975.4378124999998</v>
      </c>
      <c r="AR85" s="3">
        <v>3975.4378124999998</v>
      </c>
      <c r="AS85" s="3">
        <v>3975.4378124999998</v>
      </c>
      <c r="AT85" s="3">
        <v>3975.4378124999998</v>
      </c>
      <c r="AU85" s="3">
        <v>3975.4378124999998</v>
      </c>
      <c r="AV85" s="3">
        <v>3975.4378124999998</v>
      </c>
      <c r="AW85" s="3">
        <v>3975.4378124999998</v>
      </c>
      <c r="AX85" s="3">
        <v>47705.253749999996</v>
      </c>
    </row>
    <row r="86" spans="22:50" x14ac:dyDescent="0.35">
      <c r="V86" s="2" t="s">
        <v>331</v>
      </c>
      <c r="W86" s="1" t="s">
        <v>2</v>
      </c>
      <c r="AF86" s="5" t="s">
        <v>330</v>
      </c>
      <c r="AG86" s="4" t="s">
        <v>88</v>
      </c>
      <c r="AH86" t="s">
        <v>290</v>
      </c>
      <c r="AI86" s="4" t="s">
        <v>83</v>
      </c>
      <c r="AJ86" t="s">
        <v>101</v>
      </c>
      <c r="AK86" t="s">
        <v>172</v>
      </c>
      <c r="AL86" s="3">
        <v>3975.4378124999998</v>
      </c>
      <c r="AM86" s="3">
        <v>3975.4378124999998</v>
      </c>
      <c r="AN86" s="3">
        <v>3975.4378124999998</v>
      </c>
      <c r="AO86" s="3">
        <v>3975.4378124999998</v>
      </c>
      <c r="AP86" s="3">
        <v>3975.4378124999998</v>
      </c>
      <c r="AQ86" s="3">
        <v>3975.4378124999998</v>
      </c>
      <c r="AR86" s="3">
        <v>3975.4378124999998</v>
      </c>
      <c r="AS86" s="3">
        <v>3975.4378124999998</v>
      </c>
      <c r="AT86" s="3">
        <v>3975.4378124999998</v>
      </c>
      <c r="AU86" s="3">
        <v>3975.4378124999998</v>
      </c>
      <c r="AV86" s="3">
        <v>3975.4378124999998</v>
      </c>
      <c r="AW86" s="3">
        <v>3975.4378124999998</v>
      </c>
      <c r="AX86" s="3">
        <v>47705.253749999996</v>
      </c>
    </row>
    <row r="87" spans="22:50" x14ac:dyDescent="0.35">
      <c r="V87" s="2" t="s">
        <v>329</v>
      </c>
      <c r="W87" s="1" t="s">
        <v>2</v>
      </c>
      <c r="AF87" s="4" t="s">
        <v>324</v>
      </c>
      <c r="AG87" s="4" t="s">
        <v>88</v>
      </c>
      <c r="AH87" t="s">
        <v>241</v>
      </c>
      <c r="AI87" s="4" t="s">
        <v>83</v>
      </c>
      <c r="AJ87" t="s">
        <v>145</v>
      </c>
      <c r="AK87" t="s">
        <v>95</v>
      </c>
      <c r="AL87" s="3"/>
      <c r="AM87" s="3"/>
      <c r="AN87" s="3">
        <v>5568.5</v>
      </c>
      <c r="AO87" s="3"/>
      <c r="AP87" s="3"/>
      <c r="AQ87" s="3">
        <v>5568.5</v>
      </c>
      <c r="AR87" s="3"/>
      <c r="AS87" s="3"/>
      <c r="AT87" s="3">
        <v>5568.5</v>
      </c>
      <c r="AU87" s="3"/>
      <c r="AV87" s="3"/>
      <c r="AW87" s="3">
        <v>5568.5</v>
      </c>
      <c r="AX87" s="3">
        <v>22274</v>
      </c>
    </row>
    <row r="88" spans="22:50" x14ac:dyDescent="0.35">
      <c r="V88" s="2" t="s">
        <v>328</v>
      </c>
      <c r="W88" s="1" t="s">
        <v>0</v>
      </c>
      <c r="AF88" s="4" t="s">
        <v>324</v>
      </c>
      <c r="AG88" s="4" t="s">
        <v>88</v>
      </c>
      <c r="AH88" t="s">
        <v>327</v>
      </c>
      <c r="AI88" s="4" t="s">
        <v>83</v>
      </c>
      <c r="AJ88" t="s">
        <v>145</v>
      </c>
      <c r="AK88" t="s">
        <v>95</v>
      </c>
      <c r="AL88" s="3"/>
      <c r="AM88" s="3"/>
      <c r="AN88" s="3">
        <v>7145.25</v>
      </c>
      <c r="AO88" s="3"/>
      <c r="AP88" s="3"/>
      <c r="AQ88" s="3">
        <v>7145.25</v>
      </c>
      <c r="AR88" s="3"/>
      <c r="AS88" s="3"/>
      <c r="AT88" s="3">
        <v>7145.25</v>
      </c>
      <c r="AU88" s="3"/>
      <c r="AV88" s="3"/>
      <c r="AW88" s="3">
        <v>7145.25</v>
      </c>
      <c r="AX88" s="3">
        <v>28581</v>
      </c>
    </row>
    <row r="89" spans="22:50" x14ac:dyDescent="0.35">
      <c r="V89" s="2" t="s">
        <v>326</v>
      </c>
      <c r="W89" s="1" t="s">
        <v>6</v>
      </c>
      <c r="AF89" s="4" t="s">
        <v>324</v>
      </c>
      <c r="AG89" s="4" t="s">
        <v>88</v>
      </c>
      <c r="AH89" t="s">
        <v>44</v>
      </c>
      <c r="AI89" s="4" t="s">
        <v>83</v>
      </c>
      <c r="AJ89" t="s">
        <v>145</v>
      </c>
      <c r="AK89" t="s">
        <v>95</v>
      </c>
      <c r="AL89" s="3"/>
      <c r="AM89" s="3"/>
      <c r="AN89" s="3">
        <v>6390.25</v>
      </c>
      <c r="AO89" s="3"/>
      <c r="AP89" s="3"/>
      <c r="AQ89" s="3">
        <v>6390.25</v>
      </c>
      <c r="AR89" s="3"/>
      <c r="AS89" s="3"/>
      <c r="AT89" s="3">
        <v>6390.25</v>
      </c>
      <c r="AU89" s="3"/>
      <c r="AV89" s="3"/>
      <c r="AW89" s="3">
        <v>6390.25</v>
      </c>
      <c r="AX89" s="3">
        <v>25561</v>
      </c>
    </row>
    <row r="90" spans="22:50" x14ac:dyDescent="0.35">
      <c r="V90" s="2" t="s">
        <v>325</v>
      </c>
      <c r="W90" s="1" t="s">
        <v>6</v>
      </c>
      <c r="AF90" s="5" t="s">
        <v>324</v>
      </c>
      <c r="AG90" s="4" t="s">
        <v>88</v>
      </c>
      <c r="AH90" t="s">
        <v>323</v>
      </c>
      <c r="AI90" s="4" t="s">
        <v>83</v>
      </c>
      <c r="AJ90" t="s">
        <v>145</v>
      </c>
      <c r="AK90" t="s">
        <v>95</v>
      </c>
      <c r="AL90" s="3"/>
      <c r="AM90" s="3"/>
      <c r="AN90" s="3">
        <v>6912.75</v>
      </c>
      <c r="AO90" s="3"/>
      <c r="AP90" s="3"/>
      <c r="AQ90" s="3">
        <v>6912.75</v>
      </c>
      <c r="AR90" s="3"/>
      <c r="AS90" s="3"/>
      <c r="AT90" s="3">
        <v>6912.75</v>
      </c>
      <c r="AU90" s="3"/>
      <c r="AV90" s="3"/>
      <c r="AW90" s="3">
        <v>6912.75</v>
      </c>
      <c r="AX90" s="3">
        <v>27651</v>
      </c>
    </row>
    <row r="91" spans="22:50" x14ac:dyDescent="0.35">
      <c r="V91" s="2" t="s">
        <v>322</v>
      </c>
      <c r="W91" s="1" t="s">
        <v>2</v>
      </c>
      <c r="AF91" s="4" t="s">
        <v>320</v>
      </c>
      <c r="AG91" s="4" t="s">
        <v>88</v>
      </c>
      <c r="AH91" t="s">
        <v>197</v>
      </c>
      <c r="AI91" s="4" t="s">
        <v>92</v>
      </c>
      <c r="AJ91" t="s">
        <v>91</v>
      </c>
      <c r="AK91" t="s">
        <v>81</v>
      </c>
      <c r="AL91" s="3">
        <v>17200</v>
      </c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17200</v>
      </c>
    </row>
    <row r="92" spans="22:50" x14ac:dyDescent="0.35">
      <c r="V92" s="2" t="s">
        <v>321</v>
      </c>
      <c r="W92" s="1" t="s">
        <v>6</v>
      </c>
      <c r="AF92" s="5" t="s">
        <v>320</v>
      </c>
      <c r="AG92" s="4" t="s">
        <v>88</v>
      </c>
      <c r="AH92" t="s">
        <v>162</v>
      </c>
      <c r="AI92" s="4" t="s">
        <v>92</v>
      </c>
      <c r="AJ92" t="s">
        <v>91</v>
      </c>
      <c r="AK92" t="s">
        <v>81</v>
      </c>
      <c r="AL92" s="3">
        <v>14200</v>
      </c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14200</v>
      </c>
    </row>
    <row r="93" spans="22:50" x14ac:dyDescent="0.35">
      <c r="V93" s="2" t="s">
        <v>319</v>
      </c>
      <c r="W93" s="1" t="s">
        <v>0</v>
      </c>
      <c r="AF93" s="5" t="s">
        <v>318</v>
      </c>
      <c r="AG93" s="4" t="s">
        <v>88</v>
      </c>
      <c r="AH93" t="s">
        <v>197</v>
      </c>
      <c r="AI93" s="4" t="s">
        <v>92</v>
      </c>
      <c r="AJ93" t="s">
        <v>91</v>
      </c>
      <c r="AK93" t="s">
        <v>81</v>
      </c>
      <c r="AL93" s="3"/>
      <c r="AM93" s="3">
        <v>14576</v>
      </c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14576</v>
      </c>
    </row>
    <row r="94" spans="22:50" x14ac:dyDescent="0.35">
      <c r="V94" s="2" t="s">
        <v>317</v>
      </c>
      <c r="W94" s="1" t="s">
        <v>0</v>
      </c>
      <c r="AF94" s="5" t="s">
        <v>316</v>
      </c>
      <c r="AG94" s="4" t="s">
        <v>88</v>
      </c>
      <c r="AH94" t="s">
        <v>315</v>
      </c>
      <c r="AI94" s="4" t="s">
        <v>83</v>
      </c>
      <c r="AJ94" t="s">
        <v>82</v>
      </c>
      <c r="AK94" t="s">
        <v>81</v>
      </c>
      <c r="AL94" s="3">
        <v>772.66666666666663</v>
      </c>
      <c r="AM94" s="3">
        <v>772.66666666666663</v>
      </c>
      <c r="AN94" s="3">
        <v>772.66666666666663</v>
      </c>
      <c r="AO94" s="3">
        <v>772.66666666666663</v>
      </c>
      <c r="AP94" s="3">
        <v>772.66666666666663</v>
      </c>
      <c r="AQ94" s="3">
        <v>772.66666666666663</v>
      </c>
      <c r="AR94" s="3">
        <v>772.66666666666663</v>
      </c>
      <c r="AS94" s="3">
        <v>772.66666666666663</v>
      </c>
      <c r="AT94" s="3">
        <v>772.66666666666663</v>
      </c>
      <c r="AU94" s="3">
        <v>772.66666666666663</v>
      </c>
      <c r="AV94" s="3">
        <v>772.66666666666663</v>
      </c>
      <c r="AW94" s="3">
        <v>772.66666666666663</v>
      </c>
      <c r="AX94" s="3">
        <v>9272</v>
      </c>
    </row>
    <row r="95" spans="22:50" x14ac:dyDescent="0.35">
      <c r="V95" s="2" t="s">
        <v>314</v>
      </c>
      <c r="W95" s="1" t="s">
        <v>6</v>
      </c>
      <c r="AF95" s="4" t="s">
        <v>312</v>
      </c>
      <c r="AG95" s="4" t="s">
        <v>88</v>
      </c>
      <c r="AH95" t="s">
        <v>252</v>
      </c>
      <c r="AI95" s="4" t="s">
        <v>83</v>
      </c>
      <c r="AJ95" t="s">
        <v>310</v>
      </c>
      <c r="AK95" t="s">
        <v>81</v>
      </c>
      <c r="AL95" s="3"/>
      <c r="AM95" s="3"/>
      <c r="AN95" s="3"/>
      <c r="AO95" s="3">
        <v>4213</v>
      </c>
      <c r="AP95" s="3"/>
      <c r="AQ95" s="3"/>
      <c r="AR95" s="3"/>
      <c r="AS95" s="3">
        <v>4213</v>
      </c>
      <c r="AT95" s="3"/>
      <c r="AU95" s="3"/>
      <c r="AV95" s="3"/>
      <c r="AW95" s="3">
        <v>4213</v>
      </c>
      <c r="AX95" s="3">
        <v>12639</v>
      </c>
    </row>
    <row r="96" spans="22:50" x14ac:dyDescent="0.35">
      <c r="V96" s="2" t="s">
        <v>313</v>
      </c>
      <c r="W96" s="1" t="s">
        <v>6</v>
      </c>
      <c r="AF96" s="5" t="s">
        <v>312</v>
      </c>
      <c r="AG96" s="4" t="s">
        <v>88</v>
      </c>
      <c r="AH96" t="s">
        <v>311</v>
      </c>
      <c r="AI96" s="4" t="s">
        <v>83</v>
      </c>
      <c r="AJ96" t="s">
        <v>310</v>
      </c>
      <c r="AK96" t="s">
        <v>81</v>
      </c>
      <c r="AL96" s="3"/>
      <c r="AM96" s="3"/>
      <c r="AN96" s="3"/>
      <c r="AO96" s="3">
        <v>3042</v>
      </c>
      <c r="AP96" s="3"/>
      <c r="AQ96" s="3"/>
      <c r="AR96" s="3"/>
      <c r="AS96" s="3">
        <v>3042</v>
      </c>
      <c r="AT96" s="3"/>
      <c r="AU96" s="3"/>
      <c r="AV96" s="3"/>
      <c r="AW96" s="3">
        <v>3042</v>
      </c>
      <c r="AX96" s="3">
        <v>9126</v>
      </c>
    </row>
    <row r="97" spans="22:50" x14ac:dyDescent="0.35">
      <c r="V97" s="2" t="s">
        <v>309</v>
      </c>
      <c r="W97" s="1" t="s">
        <v>6</v>
      </c>
      <c r="AF97" s="4" t="s">
        <v>291</v>
      </c>
      <c r="AG97" s="4" t="s">
        <v>306</v>
      </c>
      <c r="AH97" t="s">
        <v>308</v>
      </c>
      <c r="AI97" s="4" t="s">
        <v>83</v>
      </c>
      <c r="AJ97" t="s">
        <v>265</v>
      </c>
      <c r="AK97" t="s">
        <v>81</v>
      </c>
      <c r="AL97" s="3">
        <v>765</v>
      </c>
      <c r="AM97" s="3">
        <v>765</v>
      </c>
      <c r="AN97" s="3">
        <v>765</v>
      </c>
      <c r="AO97" s="3">
        <v>765</v>
      </c>
      <c r="AP97" s="3">
        <v>765</v>
      </c>
      <c r="AQ97" s="3">
        <v>765</v>
      </c>
      <c r="AR97" s="3">
        <v>765</v>
      </c>
      <c r="AS97" s="3">
        <v>765</v>
      </c>
      <c r="AT97" s="3">
        <v>765</v>
      </c>
      <c r="AU97" s="3">
        <v>765</v>
      </c>
      <c r="AV97" s="3">
        <v>765</v>
      </c>
      <c r="AW97" s="3">
        <v>765</v>
      </c>
      <c r="AX97" s="3">
        <v>9180</v>
      </c>
    </row>
    <row r="98" spans="22:50" x14ac:dyDescent="0.35">
      <c r="V98" s="2" t="s">
        <v>307</v>
      </c>
      <c r="W98" s="1" t="s">
        <v>6</v>
      </c>
      <c r="AF98" s="4" t="s">
        <v>291</v>
      </c>
      <c r="AG98" s="4" t="s">
        <v>306</v>
      </c>
      <c r="AH98" t="s">
        <v>290</v>
      </c>
      <c r="AI98" s="4" t="s">
        <v>83</v>
      </c>
      <c r="AJ98" t="s">
        <v>265</v>
      </c>
      <c r="AK98" t="s">
        <v>81</v>
      </c>
      <c r="AL98" s="3">
        <v>765</v>
      </c>
      <c r="AM98" s="3">
        <v>765</v>
      </c>
      <c r="AN98" s="3">
        <v>765</v>
      </c>
      <c r="AO98" s="3">
        <v>765</v>
      </c>
      <c r="AP98" s="3">
        <v>765</v>
      </c>
      <c r="AQ98" s="3">
        <v>765</v>
      </c>
      <c r="AR98" s="3">
        <v>765</v>
      </c>
      <c r="AS98" s="3">
        <v>765</v>
      </c>
      <c r="AT98" s="3">
        <v>765</v>
      </c>
      <c r="AU98" s="3">
        <v>765</v>
      </c>
      <c r="AV98" s="3">
        <v>765</v>
      </c>
      <c r="AW98" s="3">
        <v>765</v>
      </c>
      <c r="AX98" s="3">
        <v>9180</v>
      </c>
    </row>
    <row r="99" spans="22:50" x14ac:dyDescent="0.35">
      <c r="V99" s="2" t="s">
        <v>305</v>
      </c>
      <c r="W99" s="1" t="s">
        <v>0</v>
      </c>
      <c r="AF99" s="4" t="s">
        <v>291</v>
      </c>
      <c r="AG99" s="4" t="s">
        <v>88</v>
      </c>
      <c r="AH99" t="s">
        <v>84</v>
      </c>
      <c r="AI99" s="4" t="s">
        <v>83</v>
      </c>
      <c r="AJ99" t="s">
        <v>265</v>
      </c>
      <c r="AK99" t="s">
        <v>81</v>
      </c>
      <c r="AL99" s="3">
        <v>2543.4</v>
      </c>
      <c r="AM99" s="3">
        <v>2543.4</v>
      </c>
      <c r="AN99" s="3">
        <v>2543.4</v>
      </c>
      <c r="AO99" s="3">
        <v>2543.4</v>
      </c>
      <c r="AP99" s="3">
        <v>2543.4</v>
      </c>
      <c r="AQ99" s="3">
        <v>2543.4</v>
      </c>
      <c r="AR99" s="3">
        <v>2543.4</v>
      </c>
      <c r="AS99" s="3">
        <v>2543.4</v>
      </c>
      <c r="AT99" s="3">
        <v>2543.4</v>
      </c>
      <c r="AU99" s="3">
        <v>2543.4</v>
      </c>
      <c r="AV99" s="3">
        <v>2543.4</v>
      </c>
      <c r="AW99" s="3">
        <v>2543.4</v>
      </c>
      <c r="AX99" s="3">
        <v>30520.800000000007</v>
      </c>
    </row>
    <row r="100" spans="22:50" x14ac:dyDescent="0.35">
      <c r="V100" s="2" t="s">
        <v>304</v>
      </c>
      <c r="W100" s="1" t="s">
        <v>6</v>
      </c>
      <c r="AF100" s="4" t="s">
        <v>291</v>
      </c>
      <c r="AG100" s="4" t="s">
        <v>88</v>
      </c>
      <c r="AH100" t="s">
        <v>303</v>
      </c>
      <c r="AI100" s="4" t="s">
        <v>83</v>
      </c>
      <c r="AJ100" t="s">
        <v>265</v>
      </c>
      <c r="AK100" t="s">
        <v>81</v>
      </c>
      <c r="AL100" s="3">
        <v>2543.4</v>
      </c>
      <c r="AM100" s="3">
        <v>2543.4</v>
      </c>
      <c r="AN100" s="3">
        <v>2543.4</v>
      </c>
      <c r="AO100" s="3">
        <v>2543.4</v>
      </c>
      <c r="AP100" s="3">
        <v>2543.4</v>
      </c>
      <c r="AQ100" s="3">
        <v>2543.4</v>
      </c>
      <c r="AR100" s="3">
        <v>2543.4</v>
      </c>
      <c r="AS100" s="3">
        <v>2543.4</v>
      </c>
      <c r="AT100" s="3">
        <v>2543.4</v>
      </c>
      <c r="AU100" s="3">
        <v>2543.4</v>
      </c>
      <c r="AV100" s="3">
        <v>2543.4</v>
      </c>
      <c r="AW100" s="3">
        <v>2543.4</v>
      </c>
      <c r="AX100" s="3">
        <v>30520.800000000007</v>
      </c>
    </row>
    <row r="101" spans="22:50" x14ac:dyDescent="0.35">
      <c r="V101" s="2" t="s">
        <v>302</v>
      </c>
      <c r="W101" s="1" t="s">
        <v>0</v>
      </c>
      <c r="AF101" s="4" t="s">
        <v>291</v>
      </c>
      <c r="AG101" s="4" t="s">
        <v>88</v>
      </c>
      <c r="AH101" t="s">
        <v>295</v>
      </c>
      <c r="AI101" s="4" t="s">
        <v>83</v>
      </c>
      <c r="AJ101" t="s">
        <v>265</v>
      </c>
      <c r="AK101" t="s">
        <v>81</v>
      </c>
      <c r="AL101" s="3">
        <v>1706.6</v>
      </c>
      <c r="AM101" s="3">
        <v>1706.6</v>
      </c>
      <c r="AN101" s="3">
        <v>1706.6</v>
      </c>
      <c r="AO101" s="3">
        <v>1706.6</v>
      </c>
      <c r="AP101" s="3">
        <v>1706.6</v>
      </c>
      <c r="AQ101" s="3">
        <v>1706.6</v>
      </c>
      <c r="AR101" s="3">
        <v>1706.6</v>
      </c>
      <c r="AS101" s="3">
        <v>1706.6</v>
      </c>
      <c r="AT101" s="3">
        <v>1706.6</v>
      </c>
      <c r="AU101" s="3">
        <v>1706.6</v>
      </c>
      <c r="AV101" s="3">
        <v>1706.6</v>
      </c>
      <c r="AW101" s="3">
        <v>1706.6</v>
      </c>
      <c r="AX101" s="3">
        <v>20479.199999999997</v>
      </c>
    </row>
    <row r="102" spans="22:50" x14ac:dyDescent="0.35">
      <c r="V102" s="2" t="s">
        <v>301</v>
      </c>
      <c r="W102" s="1" t="s">
        <v>6</v>
      </c>
      <c r="AF102" s="4" t="s">
        <v>291</v>
      </c>
      <c r="AG102" s="4" t="s">
        <v>88</v>
      </c>
      <c r="AH102" t="s">
        <v>293</v>
      </c>
      <c r="AI102" s="4" t="s">
        <v>83</v>
      </c>
      <c r="AJ102" t="s">
        <v>265</v>
      </c>
      <c r="AK102" t="s">
        <v>81</v>
      </c>
      <c r="AL102" s="3">
        <v>2543.4</v>
      </c>
      <c r="AM102" s="3">
        <v>2543.4</v>
      </c>
      <c r="AN102" s="3">
        <v>2543.4</v>
      </c>
      <c r="AO102" s="3">
        <v>2543.4</v>
      </c>
      <c r="AP102" s="3">
        <v>2543.4</v>
      </c>
      <c r="AQ102" s="3">
        <v>2543.4</v>
      </c>
      <c r="AR102" s="3">
        <v>2543.4</v>
      </c>
      <c r="AS102" s="3">
        <v>2543.4</v>
      </c>
      <c r="AT102" s="3">
        <v>2543.4</v>
      </c>
      <c r="AU102" s="3">
        <v>2543.4</v>
      </c>
      <c r="AV102" s="3">
        <v>2543.4</v>
      </c>
      <c r="AW102" s="3">
        <v>2543.4</v>
      </c>
      <c r="AX102" s="3">
        <v>30520.800000000007</v>
      </c>
    </row>
    <row r="103" spans="22:50" x14ac:dyDescent="0.35">
      <c r="V103" s="2" t="s">
        <v>300</v>
      </c>
      <c r="W103" s="1" t="s">
        <v>0</v>
      </c>
      <c r="AF103" s="4" t="s">
        <v>291</v>
      </c>
      <c r="AG103" s="4" t="s">
        <v>88</v>
      </c>
      <c r="AH103" t="s">
        <v>290</v>
      </c>
      <c r="AI103" s="4" t="s">
        <v>83</v>
      </c>
      <c r="AJ103" t="s">
        <v>265</v>
      </c>
      <c r="AK103" t="s">
        <v>81</v>
      </c>
      <c r="AL103" s="3">
        <v>2543.4</v>
      </c>
      <c r="AM103" s="3">
        <v>2543.4</v>
      </c>
      <c r="AN103" s="3">
        <v>2543.4</v>
      </c>
      <c r="AO103" s="3">
        <v>2543.4</v>
      </c>
      <c r="AP103" s="3">
        <v>2543.4</v>
      </c>
      <c r="AQ103" s="3">
        <v>2543.4</v>
      </c>
      <c r="AR103" s="3">
        <v>2543.4</v>
      </c>
      <c r="AS103" s="3">
        <v>2543.4</v>
      </c>
      <c r="AT103" s="3">
        <v>2543.4</v>
      </c>
      <c r="AU103" s="3">
        <v>2543.4</v>
      </c>
      <c r="AV103" s="3">
        <v>2543.4</v>
      </c>
      <c r="AW103" s="3">
        <v>2543.4</v>
      </c>
      <c r="AX103" s="3">
        <v>30520.800000000007</v>
      </c>
    </row>
    <row r="104" spans="22:50" x14ac:dyDescent="0.35">
      <c r="V104" s="2" t="s">
        <v>299</v>
      </c>
      <c r="W104" s="1" t="s">
        <v>0</v>
      </c>
      <c r="AF104" s="4" t="s">
        <v>291</v>
      </c>
      <c r="AG104" s="4" t="s">
        <v>173</v>
      </c>
      <c r="AH104" t="s">
        <v>84</v>
      </c>
      <c r="AI104" s="4" t="s">
        <v>117</v>
      </c>
      <c r="AJ104" t="s">
        <v>265</v>
      </c>
      <c r="AK104" t="s">
        <v>81</v>
      </c>
      <c r="AL104" s="3"/>
      <c r="AM104" s="3"/>
      <c r="AN104" s="3"/>
      <c r="AO104" s="3">
        <v>16856.04</v>
      </c>
      <c r="AP104" s="3"/>
      <c r="AQ104" s="3"/>
      <c r="AR104" s="3"/>
      <c r="AS104" s="3"/>
      <c r="AT104" s="3"/>
      <c r="AU104" s="3"/>
      <c r="AV104" s="3"/>
      <c r="AW104" s="3"/>
      <c r="AX104" s="3">
        <v>16856.04</v>
      </c>
    </row>
    <row r="105" spans="22:50" x14ac:dyDescent="0.35">
      <c r="V105" s="2" t="s">
        <v>298</v>
      </c>
      <c r="W105" s="1" t="s">
        <v>6</v>
      </c>
      <c r="AF105" s="4" t="s">
        <v>291</v>
      </c>
      <c r="AG105" s="4" t="s">
        <v>173</v>
      </c>
      <c r="AH105" t="s">
        <v>297</v>
      </c>
      <c r="AI105" s="4" t="s">
        <v>117</v>
      </c>
      <c r="AJ105" t="s">
        <v>265</v>
      </c>
      <c r="AK105" t="s">
        <v>81</v>
      </c>
      <c r="AL105" s="3"/>
      <c r="AM105" s="3"/>
      <c r="AN105" s="3"/>
      <c r="AO105" s="3">
        <v>14983.5</v>
      </c>
      <c r="AP105" s="3"/>
      <c r="AQ105" s="3"/>
      <c r="AR105" s="3"/>
      <c r="AS105" s="3"/>
      <c r="AT105" s="3"/>
      <c r="AU105" s="3"/>
      <c r="AV105" s="3"/>
      <c r="AW105" s="3"/>
      <c r="AX105" s="3">
        <v>14983.5</v>
      </c>
    </row>
    <row r="106" spans="22:50" x14ac:dyDescent="0.35">
      <c r="V106" s="2" t="s">
        <v>296</v>
      </c>
      <c r="W106" s="1" t="s">
        <v>6</v>
      </c>
      <c r="AF106" s="4" t="s">
        <v>291</v>
      </c>
      <c r="AG106" s="4" t="s">
        <v>173</v>
      </c>
      <c r="AH106" t="s">
        <v>295</v>
      </c>
      <c r="AI106" s="4" t="s">
        <v>117</v>
      </c>
      <c r="AJ106" t="s">
        <v>265</v>
      </c>
      <c r="AK106" t="s">
        <v>81</v>
      </c>
      <c r="AL106" s="3"/>
      <c r="AM106" s="3"/>
      <c r="AN106" s="3"/>
      <c r="AO106" s="3">
        <v>14983.5</v>
      </c>
      <c r="AP106" s="3"/>
      <c r="AQ106" s="3"/>
      <c r="AR106" s="3"/>
      <c r="AS106" s="3"/>
      <c r="AT106" s="3"/>
      <c r="AU106" s="3"/>
      <c r="AV106" s="3"/>
      <c r="AW106" s="3"/>
      <c r="AX106" s="3">
        <v>14983.5</v>
      </c>
    </row>
    <row r="107" spans="22:50" x14ac:dyDescent="0.35">
      <c r="V107" s="2" t="s">
        <v>294</v>
      </c>
      <c r="W107" s="1" t="s">
        <v>0</v>
      </c>
      <c r="AF107" s="4" t="s">
        <v>291</v>
      </c>
      <c r="AG107" s="4" t="s">
        <v>173</v>
      </c>
      <c r="AH107" t="s">
        <v>293</v>
      </c>
      <c r="AI107" s="4" t="s">
        <v>117</v>
      </c>
      <c r="AJ107" t="s">
        <v>265</v>
      </c>
      <c r="AK107" t="s">
        <v>81</v>
      </c>
      <c r="AL107" s="3"/>
      <c r="AM107" s="3"/>
      <c r="AN107" s="3"/>
      <c r="AO107" s="3">
        <v>16856.04</v>
      </c>
      <c r="AP107" s="3"/>
      <c r="AQ107" s="3"/>
      <c r="AR107" s="3"/>
      <c r="AS107" s="3"/>
      <c r="AT107" s="3"/>
      <c r="AU107" s="3"/>
      <c r="AV107" s="3"/>
      <c r="AW107" s="3"/>
      <c r="AX107" s="3">
        <v>16856.04</v>
      </c>
    </row>
    <row r="108" spans="22:50" x14ac:dyDescent="0.35">
      <c r="V108" s="2" t="s">
        <v>292</v>
      </c>
      <c r="W108" s="1" t="s">
        <v>0</v>
      </c>
      <c r="AF108" s="5" t="s">
        <v>291</v>
      </c>
      <c r="AG108" s="4" t="s">
        <v>173</v>
      </c>
      <c r="AH108" t="s">
        <v>290</v>
      </c>
      <c r="AI108" s="4" t="s">
        <v>117</v>
      </c>
      <c r="AJ108" t="s">
        <v>265</v>
      </c>
      <c r="AK108" t="s">
        <v>81</v>
      </c>
      <c r="AL108" s="3"/>
      <c r="AM108" s="3"/>
      <c r="AN108" s="3"/>
      <c r="AO108" s="3">
        <v>14983.5</v>
      </c>
      <c r="AP108" s="3"/>
      <c r="AQ108" s="3"/>
      <c r="AR108" s="3"/>
      <c r="AS108" s="3"/>
      <c r="AT108" s="3"/>
      <c r="AU108" s="3"/>
      <c r="AV108" s="3"/>
      <c r="AW108" s="3"/>
      <c r="AX108" s="3">
        <v>14983.5</v>
      </c>
    </row>
    <row r="109" spans="22:50" x14ac:dyDescent="0.35">
      <c r="V109" s="2" t="s">
        <v>289</v>
      </c>
      <c r="W109" s="1" t="s">
        <v>6</v>
      </c>
      <c r="AF109" s="4" t="s">
        <v>285</v>
      </c>
      <c r="AG109" s="4" t="s">
        <v>88</v>
      </c>
      <c r="AH109" t="s">
        <v>165</v>
      </c>
      <c r="AI109" s="4" t="s">
        <v>83</v>
      </c>
      <c r="AJ109" t="s">
        <v>265</v>
      </c>
      <c r="AK109" t="s">
        <v>81</v>
      </c>
      <c r="AL109" s="3">
        <v>3966.6666666666665</v>
      </c>
      <c r="AM109" s="3">
        <v>3966.6666666666665</v>
      </c>
      <c r="AN109" s="3">
        <v>3966.6666666666665</v>
      </c>
      <c r="AO109" s="3">
        <v>3966.6666666666665</v>
      </c>
      <c r="AP109" s="3">
        <v>3966.6666666666665</v>
      </c>
      <c r="AQ109" s="3">
        <v>3966.6666666666665</v>
      </c>
      <c r="AR109" s="3">
        <v>3966.6666666666665</v>
      </c>
      <c r="AS109" s="3">
        <v>3966.6666666666665</v>
      </c>
      <c r="AT109" s="3">
        <v>3966.6666666666665</v>
      </c>
      <c r="AU109" s="3">
        <v>3966.6666666666665</v>
      </c>
      <c r="AV109" s="3">
        <v>3966.6666666666665</v>
      </c>
      <c r="AW109" s="3">
        <v>3966.6666666666665</v>
      </c>
      <c r="AX109" s="3">
        <v>47599.999999999993</v>
      </c>
    </row>
    <row r="110" spans="22:50" x14ac:dyDescent="0.35">
      <c r="V110" s="2" t="s">
        <v>288</v>
      </c>
      <c r="W110" s="1" t="s">
        <v>6</v>
      </c>
      <c r="AF110" s="4" t="s">
        <v>285</v>
      </c>
      <c r="AG110" s="4" t="s">
        <v>88</v>
      </c>
      <c r="AH110" t="s">
        <v>284</v>
      </c>
      <c r="AI110" s="4" t="s">
        <v>83</v>
      </c>
      <c r="AJ110" t="s">
        <v>265</v>
      </c>
      <c r="AK110" t="s">
        <v>81</v>
      </c>
      <c r="AL110" s="3">
        <v>3406.1666666666665</v>
      </c>
      <c r="AM110" s="3">
        <v>3406.1666666666665</v>
      </c>
      <c r="AN110" s="3">
        <v>3406.1666666666665</v>
      </c>
      <c r="AO110" s="3">
        <v>3406.1666666666665</v>
      </c>
      <c r="AP110" s="3">
        <v>3406.1666666666665</v>
      </c>
      <c r="AQ110" s="3">
        <v>3406.1666666666665</v>
      </c>
      <c r="AR110" s="3">
        <v>3406.1666666666665</v>
      </c>
      <c r="AS110" s="3">
        <v>3406.1666666666665</v>
      </c>
      <c r="AT110" s="3">
        <v>3406.1666666666665</v>
      </c>
      <c r="AU110" s="3">
        <v>3406.1666666666665</v>
      </c>
      <c r="AV110" s="3">
        <v>3406.1666666666665</v>
      </c>
      <c r="AW110" s="3">
        <v>3406.1666666666665</v>
      </c>
      <c r="AX110" s="3">
        <v>40874</v>
      </c>
    </row>
    <row r="111" spans="22:50" x14ac:dyDescent="0.35">
      <c r="V111" s="2" t="s">
        <v>287</v>
      </c>
      <c r="W111" s="1" t="s">
        <v>2</v>
      </c>
      <c r="AF111" s="4" t="s">
        <v>285</v>
      </c>
      <c r="AG111" s="4" t="s">
        <v>146</v>
      </c>
      <c r="AH111" t="s">
        <v>165</v>
      </c>
      <c r="AI111" s="4" t="s">
        <v>83</v>
      </c>
      <c r="AJ111" t="s">
        <v>265</v>
      </c>
      <c r="AK111" t="s">
        <v>81</v>
      </c>
      <c r="AL111" s="3">
        <v>1083.3333333333333</v>
      </c>
      <c r="AM111" s="3">
        <v>1083.3333333333333</v>
      </c>
      <c r="AN111" s="3">
        <v>1083.3333333333333</v>
      </c>
      <c r="AO111" s="3">
        <v>1083.3333333333333</v>
      </c>
      <c r="AP111" s="3">
        <v>1083.3333333333333</v>
      </c>
      <c r="AQ111" s="3">
        <v>1083.3333333333333</v>
      </c>
      <c r="AR111" s="3">
        <v>1083.3333333333333</v>
      </c>
      <c r="AS111" s="3">
        <v>1083.3333333333333</v>
      </c>
      <c r="AT111" s="3">
        <v>1083.3333333333333</v>
      </c>
      <c r="AU111" s="3">
        <v>1083.3333333333333</v>
      </c>
      <c r="AV111" s="3">
        <v>1083.3333333333333</v>
      </c>
      <c r="AW111" s="3">
        <v>1083.3333333333333</v>
      </c>
      <c r="AX111" s="3">
        <v>13000.000000000002</v>
      </c>
    </row>
    <row r="112" spans="22:50" x14ac:dyDescent="0.35">
      <c r="V112" s="2" t="s">
        <v>286</v>
      </c>
      <c r="W112" s="1" t="s">
        <v>2</v>
      </c>
      <c r="AF112" s="5" t="s">
        <v>285</v>
      </c>
      <c r="AG112" s="4" t="s">
        <v>146</v>
      </c>
      <c r="AH112" t="s">
        <v>284</v>
      </c>
      <c r="AI112" s="4" t="s">
        <v>83</v>
      </c>
      <c r="AJ112" t="s">
        <v>265</v>
      </c>
      <c r="AK112" t="s">
        <v>81</v>
      </c>
      <c r="AL112" s="3">
        <v>833.33333333333337</v>
      </c>
      <c r="AM112" s="3">
        <v>833.33333333333337</v>
      </c>
      <c r="AN112" s="3">
        <v>833.33333333333337</v>
      </c>
      <c r="AO112" s="3">
        <v>833.33333333333337</v>
      </c>
      <c r="AP112" s="3">
        <v>833.33333333333337</v>
      </c>
      <c r="AQ112" s="3">
        <v>833.33333333333337</v>
      </c>
      <c r="AR112" s="3">
        <v>833.33333333333337</v>
      </c>
      <c r="AS112" s="3">
        <v>833.33333333333337</v>
      </c>
      <c r="AT112" s="3">
        <v>833.33333333333337</v>
      </c>
      <c r="AU112" s="3">
        <v>833.33333333333337</v>
      </c>
      <c r="AV112" s="3">
        <v>833.33333333333337</v>
      </c>
      <c r="AW112" s="3">
        <v>833.33333333333337</v>
      </c>
      <c r="AX112" s="3">
        <v>10000</v>
      </c>
    </row>
    <row r="113" spans="22:50" x14ac:dyDescent="0.35">
      <c r="V113" s="2" t="s">
        <v>283</v>
      </c>
      <c r="W113" s="1" t="s">
        <v>0</v>
      </c>
      <c r="AF113" s="4" t="s">
        <v>267</v>
      </c>
      <c r="AG113" s="4" t="s">
        <v>85</v>
      </c>
      <c r="AH113" t="s">
        <v>282</v>
      </c>
      <c r="AI113" s="4" t="s">
        <v>83</v>
      </c>
      <c r="AJ113" t="s">
        <v>82</v>
      </c>
      <c r="AK113" t="s">
        <v>81</v>
      </c>
      <c r="AL113" s="3"/>
      <c r="AM113" s="3">
        <v>4920</v>
      </c>
      <c r="AN113" s="3">
        <v>2459.9166666666665</v>
      </c>
      <c r="AO113" s="3">
        <v>2459.9166666666665</v>
      </c>
      <c r="AP113" s="3">
        <v>2459.9166666666665</v>
      </c>
      <c r="AQ113" s="3">
        <v>2459.9166666666665</v>
      </c>
      <c r="AR113" s="3">
        <v>2459.9166666666665</v>
      </c>
      <c r="AS113" s="3">
        <v>2459.9166666666665</v>
      </c>
      <c r="AT113" s="3">
        <v>2459.9166666666665</v>
      </c>
      <c r="AU113" s="3">
        <v>2459.9166666666665</v>
      </c>
      <c r="AV113" s="3">
        <v>2459.9166666666665</v>
      </c>
      <c r="AW113" s="3">
        <v>2459.9166666666665</v>
      </c>
      <c r="AX113" s="3">
        <v>29519.166666666672</v>
      </c>
    </row>
    <row r="114" spans="22:50" x14ac:dyDescent="0.35">
      <c r="V114" s="2" t="s">
        <v>281</v>
      </c>
      <c r="W114" s="1" t="s">
        <v>2</v>
      </c>
      <c r="AF114" s="4" t="s">
        <v>267</v>
      </c>
      <c r="AG114" s="4" t="s">
        <v>85</v>
      </c>
      <c r="AH114" t="s">
        <v>280</v>
      </c>
      <c r="AI114" s="4" t="s">
        <v>83</v>
      </c>
      <c r="AJ114" t="s">
        <v>101</v>
      </c>
      <c r="AK114" t="s">
        <v>81</v>
      </c>
      <c r="AL114" s="3">
        <v>2656.25</v>
      </c>
      <c r="AM114" s="3">
        <v>2656.25</v>
      </c>
      <c r="AN114" s="3">
        <v>2656.25</v>
      </c>
      <c r="AO114" s="3">
        <v>2656.25</v>
      </c>
      <c r="AP114" s="3">
        <v>2656.25</v>
      </c>
      <c r="AQ114" s="3">
        <v>2656.25</v>
      </c>
      <c r="AR114" s="3">
        <v>2656.25</v>
      </c>
      <c r="AS114" s="3">
        <v>2656.25</v>
      </c>
      <c r="AT114" s="3">
        <v>2656.25</v>
      </c>
      <c r="AU114" s="3">
        <v>2656.25</v>
      </c>
      <c r="AV114" s="3">
        <v>2656.25</v>
      </c>
      <c r="AW114" s="3">
        <v>2656.25</v>
      </c>
      <c r="AX114" s="3">
        <v>31875</v>
      </c>
    </row>
    <row r="115" spans="22:50" x14ac:dyDescent="0.35">
      <c r="V115" s="2" t="s">
        <v>279</v>
      </c>
      <c r="W115" s="1" t="s">
        <v>6</v>
      </c>
      <c r="AF115" s="4" t="s">
        <v>267</v>
      </c>
      <c r="AG115" s="4" t="s">
        <v>85</v>
      </c>
      <c r="AH115" t="s">
        <v>278</v>
      </c>
      <c r="AI115" s="4" t="s">
        <v>83</v>
      </c>
      <c r="AJ115" t="s">
        <v>82</v>
      </c>
      <c r="AK115" t="s">
        <v>81</v>
      </c>
      <c r="AL115" s="3"/>
      <c r="AM115" s="3">
        <v>4968</v>
      </c>
      <c r="AN115" s="3">
        <v>2484</v>
      </c>
      <c r="AO115" s="3">
        <v>2484</v>
      </c>
      <c r="AP115" s="3">
        <v>2484</v>
      </c>
      <c r="AQ115" s="3">
        <v>2484</v>
      </c>
      <c r="AR115" s="3">
        <v>2484</v>
      </c>
      <c r="AS115" s="3">
        <v>2484</v>
      </c>
      <c r="AT115" s="3">
        <v>2484</v>
      </c>
      <c r="AU115" s="3">
        <v>2484</v>
      </c>
      <c r="AV115" s="3">
        <v>2484</v>
      </c>
      <c r="AW115" s="3">
        <v>2484</v>
      </c>
      <c r="AX115" s="3">
        <v>29808</v>
      </c>
    </row>
    <row r="116" spans="22:50" x14ac:dyDescent="0.35">
      <c r="V116" s="2" t="s">
        <v>277</v>
      </c>
      <c r="W116" s="1" t="s">
        <v>6</v>
      </c>
      <c r="AF116" s="4" t="s">
        <v>267</v>
      </c>
      <c r="AG116" s="4" t="s">
        <v>85</v>
      </c>
      <c r="AH116" t="s">
        <v>252</v>
      </c>
      <c r="AI116" s="4" t="s">
        <v>83</v>
      </c>
      <c r="AJ116" t="s">
        <v>101</v>
      </c>
      <c r="AK116" t="s">
        <v>81</v>
      </c>
      <c r="AL116" s="3">
        <v>2951.25</v>
      </c>
      <c r="AM116" s="3">
        <v>2951.25</v>
      </c>
      <c r="AN116" s="3">
        <v>2951.25</v>
      </c>
      <c r="AO116" s="3">
        <v>2951.25</v>
      </c>
      <c r="AP116" s="3">
        <v>2951.25</v>
      </c>
      <c r="AQ116" s="3">
        <v>2951.25</v>
      </c>
      <c r="AR116" s="3">
        <v>2951.25</v>
      </c>
      <c r="AS116" s="3">
        <v>2951.25</v>
      </c>
      <c r="AT116" s="3">
        <v>2951.25</v>
      </c>
      <c r="AU116" s="3">
        <v>2951.25</v>
      </c>
      <c r="AV116" s="3">
        <v>2951.25</v>
      </c>
      <c r="AW116" s="3">
        <v>2951.25</v>
      </c>
      <c r="AX116" s="3">
        <v>35415</v>
      </c>
    </row>
    <row r="117" spans="22:50" x14ac:dyDescent="0.35">
      <c r="V117" s="2" t="s">
        <v>276</v>
      </c>
      <c r="W117" s="1" t="s">
        <v>0</v>
      </c>
      <c r="AF117" s="4" t="s">
        <v>267</v>
      </c>
      <c r="AG117" s="4" t="s">
        <v>85</v>
      </c>
      <c r="AH117" t="s">
        <v>275</v>
      </c>
      <c r="AI117" s="4" t="s">
        <v>83</v>
      </c>
      <c r="AJ117" t="s">
        <v>101</v>
      </c>
      <c r="AK117" t="s">
        <v>81</v>
      </c>
      <c r="AL117" s="3">
        <v>3542.5</v>
      </c>
      <c r="AM117" s="3">
        <v>3542.5</v>
      </c>
      <c r="AN117" s="3">
        <v>3542.5</v>
      </c>
      <c r="AO117" s="3">
        <v>3542.5</v>
      </c>
      <c r="AP117" s="3">
        <v>3542.5</v>
      </c>
      <c r="AQ117" s="3">
        <v>3542.5</v>
      </c>
      <c r="AR117" s="3">
        <v>3542.5</v>
      </c>
      <c r="AS117" s="3">
        <v>3542.5</v>
      </c>
      <c r="AT117" s="3">
        <v>3542.5</v>
      </c>
      <c r="AU117" s="3">
        <v>3542.5</v>
      </c>
      <c r="AV117" s="3">
        <v>3542.5</v>
      </c>
      <c r="AW117" s="3">
        <v>3542.5</v>
      </c>
      <c r="AX117" s="3">
        <v>42510</v>
      </c>
    </row>
    <row r="118" spans="22:50" x14ac:dyDescent="0.35">
      <c r="V118" s="2" t="s">
        <v>274</v>
      </c>
      <c r="W118" s="1" t="s">
        <v>2</v>
      </c>
      <c r="AF118" s="4" t="s">
        <v>267</v>
      </c>
      <c r="AG118" s="4" t="s">
        <v>85</v>
      </c>
      <c r="AH118" t="s">
        <v>273</v>
      </c>
      <c r="AI118" s="4" t="s">
        <v>83</v>
      </c>
      <c r="AJ118" t="s">
        <v>101</v>
      </c>
      <c r="AK118" t="s">
        <v>81</v>
      </c>
      <c r="AL118" s="3">
        <v>2951.25</v>
      </c>
      <c r="AM118" s="3">
        <v>2951.25</v>
      </c>
      <c r="AN118" s="3">
        <v>2951.25</v>
      </c>
      <c r="AO118" s="3">
        <v>2951.25</v>
      </c>
      <c r="AP118" s="3">
        <v>2951.25</v>
      </c>
      <c r="AQ118" s="3">
        <v>2951.25</v>
      </c>
      <c r="AR118" s="3">
        <v>2951.25</v>
      </c>
      <c r="AS118" s="3">
        <v>2951.25</v>
      </c>
      <c r="AT118" s="3">
        <v>2951.25</v>
      </c>
      <c r="AU118" s="3">
        <v>2951.25</v>
      </c>
      <c r="AV118" s="3">
        <v>2951.25</v>
      </c>
      <c r="AW118" s="3">
        <v>2951.25</v>
      </c>
      <c r="AX118" s="3">
        <v>35415</v>
      </c>
    </row>
    <row r="119" spans="22:50" x14ac:dyDescent="0.35">
      <c r="V119" s="2" t="s">
        <v>272</v>
      </c>
      <c r="W119" s="1" t="s">
        <v>2</v>
      </c>
      <c r="AF119" s="4" t="s">
        <v>267</v>
      </c>
      <c r="AG119" s="4" t="s">
        <v>85</v>
      </c>
      <c r="AH119" t="s">
        <v>271</v>
      </c>
      <c r="AI119" s="4" t="s">
        <v>83</v>
      </c>
      <c r="AJ119" t="s">
        <v>101</v>
      </c>
      <c r="AK119" t="s">
        <v>81</v>
      </c>
      <c r="AL119" s="3">
        <v>2656.25</v>
      </c>
      <c r="AM119" s="3">
        <v>2656.25</v>
      </c>
      <c r="AN119" s="3">
        <v>2656.25</v>
      </c>
      <c r="AO119" s="3">
        <v>2656.25</v>
      </c>
      <c r="AP119" s="3">
        <v>2656.25</v>
      </c>
      <c r="AQ119" s="3">
        <v>2656.25</v>
      </c>
      <c r="AR119" s="3">
        <v>2656.25</v>
      </c>
      <c r="AS119" s="3">
        <v>2656.25</v>
      </c>
      <c r="AT119" s="3">
        <v>2656.25</v>
      </c>
      <c r="AU119" s="3">
        <v>2656.25</v>
      </c>
      <c r="AV119" s="3">
        <v>2656.25</v>
      </c>
      <c r="AW119" s="3">
        <v>2656.25</v>
      </c>
      <c r="AX119" s="3">
        <v>31875</v>
      </c>
    </row>
    <row r="120" spans="22:50" x14ac:dyDescent="0.35">
      <c r="V120" s="2" t="s">
        <v>270</v>
      </c>
      <c r="W120" s="1" t="s">
        <v>2</v>
      </c>
      <c r="AF120" s="4" t="s">
        <v>267</v>
      </c>
      <c r="AG120" s="4" t="s">
        <v>85</v>
      </c>
      <c r="AH120" t="s">
        <v>269</v>
      </c>
      <c r="AI120" s="4" t="s">
        <v>83</v>
      </c>
      <c r="AJ120" t="s">
        <v>101</v>
      </c>
      <c r="AK120" t="s">
        <v>81</v>
      </c>
      <c r="AL120" s="3"/>
      <c r="AM120" s="3"/>
      <c r="AN120" s="3"/>
      <c r="AO120" s="3"/>
      <c r="AP120" s="3"/>
      <c r="AQ120" s="3">
        <v>2480</v>
      </c>
      <c r="AR120" s="3">
        <v>2480</v>
      </c>
      <c r="AS120" s="3">
        <v>2480</v>
      </c>
      <c r="AT120" s="3">
        <v>2480</v>
      </c>
      <c r="AU120" s="3">
        <v>2480</v>
      </c>
      <c r="AV120" s="3">
        <v>2480</v>
      </c>
      <c r="AW120" s="3">
        <v>2480</v>
      </c>
      <c r="AX120" s="3">
        <v>17360</v>
      </c>
    </row>
    <row r="121" spans="22:50" x14ac:dyDescent="0.35">
      <c r="V121" s="2" t="s">
        <v>268</v>
      </c>
      <c r="W121" s="1" t="s">
        <v>6</v>
      </c>
      <c r="AF121" s="5" t="s">
        <v>267</v>
      </c>
      <c r="AG121" s="4" t="s">
        <v>88</v>
      </c>
      <c r="AH121" t="s">
        <v>266</v>
      </c>
      <c r="AI121" s="4" t="s">
        <v>83</v>
      </c>
      <c r="AJ121" t="s">
        <v>265</v>
      </c>
      <c r="AK121" t="s">
        <v>81</v>
      </c>
      <c r="AL121" s="3">
        <v>3792</v>
      </c>
      <c r="AM121" s="3">
        <v>3792</v>
      </c>
      <c r="AN121" s="3">
        <v>3792</v>
      </c>
      <c r="AO121" s="3">
        <v>3792</v>
      </c>
      <c r="AP121" s="3">
        <v>3792</v>
      </c>
      <c r="AQ121" s="3">
        <v>3792</v>
      </c>
      <c r="AR121" s="3">
        <v>3792</v>
      </c>
      <c r="AS121" s="3">
        <v>3792</v>
      </c>
      <c r="AT121" s="3">
        <v>3792</v>
      </c>
      <c r="AU121" s="3">
        <v>3792</v>
      </c>
      <c r="AV121" s="3">
        <v>3792</v>
      </c>
      <c r="AW121" s="3">
        <v>3792</v>
      </c>
      <c r="AX121" s="3">
        <v>45504</v>
      </c>
    </row>
    <row r="122" spans="22:50" x14ac:dyDescent="0.35">
      <c r="V122" s="2" t="s">
        <v>264</v>
      </c>
      <c r="W122" s="1" t="s">
        <v>0</v>
      </c>
      <c r="AF122" s="4" t="s">
        <v>254</v>
      </c>
      <c r="AG122" s="4" t="s">
        <v>93</v>
      </c>
      <c r="AH122" t="s">
        <v>259</v>
      </c>
      <c r="AI122" s="4" t="s">
        <v>83</v>
      </c>
      <c r="AJ122" t="s">
        <v>82</v>
      </c>
      <c r="AK122" t="s">
        <v>81</v>
      </c>
      <c r="AL122" s="3">
        <v>104.08</v>
      </c>
      <c r="AM122" s="3">
        <v>104.08</v>
      </c>
      <c r="AN122" s="3">
        <v>104.08</v>
      </c>
      <c r="AO122" s="3">
        <v>104.08</v>
      </c>
      <c r="AP122" s="3">
        <v>104.08</v>
      </c>
      <c r="AQ122" s="3">
        <v>104.08</v>
      </c>
      <c r="AR122" s="3">
        <v>104.08</v>
      </c>
      <c r="AS122" s="3">
        <v>104.08</v>
      </c>
      <c r="AT122" s="3">
        <v>104.08</v>
      </c>
      <c r="AU122" s="3">
        <v>104.08</v>
      </c>
      <c r="AV122" s="3">
        <v>104.08</v>
      </c>
      <c r="AW122" s="3">
        <v>104.08</v>
      </c>
      <c r="AX122" s="3">
        <v>1248.96</v>
      </c>
    </row>
    <row r="123" spans="22:50" x14ac:dyDescent="0.35">
      <c r="V123" s="2" t="s">
        <v>263</v>
      </c>
      <c r="W123" s="1" t="s">
        <v>2</v>
      </c>
      <c r="AF123" s="4" t="s">
        <v>254</v>
      </c>
      <c r="AG123" s="4" t="s">
        <v>93</v>
      </c>
      <c r="AH123" t="s">
        <v>257</v>
      </c>
      <c r="AI123" s="4" t="s">
        <v>83</v>
      </c>
      <c r="AJ123" t="s">
        <v>82</v>
      </c>
      <c r="AK123" t="s">
        <v>81</v>
      </c>
      <c r="AL123" s="3">
        <v>620.05999999999995</v>
      </c>
      <c r="AM123" s="3">
        <v>620.05999999999995</v>
      </c>
      <c r="AN123" s="3">
        <v>620.05999999999995</v>
      </c>
      <c r="AO123" s="3">
        <v>620.05999999999995</v>
      </c>
      <c r="AP123" s="3">
        <v>620.05999999999995</v>
      </c>
      <c r="AQ123" s="3">
        <v>620.05999999999995</v>
      </c>
      <c r="AR123" s="3">
        <v>620.05999999999995</v>
      </c>
      <c r="AS123" s="3">
        <v>620.05999999999995</v>
      </c>
      <c r="AT123" s="3">
        <v>620.05999999999995</v>
      </c>
      <c r="AU123" s="3">
        <v>620.05999999999995</v>
      </c>
      <c r="AV123" s="3">
        <v>620.05999999999995</v>
      </c>
      <c r="AW123" s="3">
        <v>620.05999999999995</v>
      </c>
      <c r="AX123" s="3">
        <v>7440.7199999999975</v>
      </c>
    </row>
    <row r="124" spans="22:50" x14ac:dyDescent="0.35">
      <c r="V124" s="2" t="s">
        <v>262</v>
      </c>
      <c r="W124" s="1" t="s">
        <v>0</v>
      </c>
      <c r="AF124" s="4" t="s">
        <v>254</v>
      </c>
      <c r="AG124" s="4" t="s">
        <v>93</v>
      </c>
      <c r="AH124" t="s">
        <v>176</v>
      </c>
      <c r="AI124" s="4" t="s">
        <v>83</v>
      </c>
      <c r="AJ124" t="s">
        <v>82</v>
      </c>
      <c r="AK124" t="s">
        <v>81</v>
      </c>
      <c r="AL124" s="3">
        <v>402.87</v>
      </c>
      <c r="AM124" s="3">
        <v>402.87</v>
      </c>
      <c r="AN124" s="3">
        <v>402.87</v>
      </c>
      <c r="AO124" s="3">
        <v>402.87</v>
      </c>
      <c r="AP124" s="3">
        <v>402.87</v>
      </c>
      <c r="AQ124" s="3">
        <v>402.87</v>
      </c>
      <c r="AR124" s="3">
        <v>402.87</v>
      </c>
      <c r="AS124" s="3">
        <v>402.87</v>
      </c>
      <c r="AT124" s="3">
        <v>402.87</v>
      </c>
      <c r="AU124" s="3">
        <v>402.87</v>
      </c>
      <c r="AV124" s="3">
        <v>402.87</v>
      </c>
      <c r="AW124" s="3">
        <v>402.87</v>
      </c>
      <c r="AX124" s="3">
        <v>4834.4399999999996</v>
      </c>
    </row>
    <row r="125" spans="22:50" x14ac:dyDescent="0.35">
      <c r="V125" s="2" t="s">
        <v>261</v>
      </c>
      <c r="W125" s="1" t="s">
        <v>6</v>
      </c>
      <c r="AF125" s="4" t="s">
        <v>254</v>
      </c>
      <c r="AG125" s="4" t="s">
        <v>93</v>
      </c>
      <c r="AH125" t="s">
        <v>84</v>
      </c>
      <c r="AI125" s="4" t="s">
        <v>83</v>
      </c>
      <c r="AJ125" t="s">
        <v>82</v>
      </c>
      <c r="AK125" t="s">
        <v>81</v>
      </c>
      <c r="AL125" s="3">
        <v>566.51</v>
      </c>
      <c r="AM125" s="3">
        <v>566.51</v>
      </c>
      <c r="AN125" s="3">
        <v>566.51</v>
      </c>
      <c r="AO125" s="3">
        <v>566.51</v>
      </c>
      <c r="AP125" s="3">
        <v>566.51</v>
      </c>
      <c r="AQ125" s="3">
        <v>566.51</v>
      </c>
      <c r="AR125" s="3">
        <v>566.51</v>
      </c>
      <c r="AS125" s="3">
        <v>566.51</v>
      </c>
      <c r="AT125" s="3">
        <v>566.51</v>
      </c>
      <c r="AU125" s="3">
        <v>566.51</v>
      </c>
      <c r="AV125" s="3">
        <v>566.51</v>
      </c>
      <c r="AW125" s="3">
        <v>566.51</v>
      </c>
      <c r="AX125" s="3">
        <v>6798.1200000000017</v>
      </c>
    </row>
    <row r="126" spans="22:50" x14ac:dyDescent="0.35">
      <c r="V126" s="2" t="s">
        <v>260</v>
      </c>
      <c r="W126" s="1" t="s">
        <v>0</v>
      </c>
      <c r="AF126" s="4" t="s">
        <v>254</v>
      </c>
      <c r="AG126" s="4" t="s">
        <v>88</v>
      </c>
      <c r="AH126" t="s">
        <v>259</v>
      </c>
      <c r="AI126" s="4" t="s">
        <v>83</v>
      </c>
      <c r="AJ126" t="s">
        <v>82</v>
      </c>
      <c r="AK126" t="s">
        <v>81</v>
      </c>
      <c r="AL126" s="3">
        <v>242.84</v>
      </c>
      <c r="AM126" s="3">
        <v>242.84</v>
      </c>
      <c r="AN126" s="3">
        <v>242.84</v>
      </c>
      <c r="AO126" s="3">
        <v>242.84</v>
      </c>
      <c r="AP126" s="3">
        <v>242.84</v>
      </c>
      <c r="AQ126" s="3">
        <v>242.84</v>
      </c>
      <c r="AR126" s="3">
        <v>242.84</v>
      </c>
      <c r="AS126" s="3">
        <v>242.84</v>
      </c>
      <c r="AT126" s="3">
        <v>242.84</v>
      </c>
      <c r="AU126" s="3">
        <v>242.84</v>
      </c>
      <c r="AV126" s="3">
        <v>242.84</v>
      </c>
      <c r="AW126" s="3">
        <v>242.84</v>
      </c>
      <c r="AX126" s="3">
        <v>2914.0800000000004</v>
      </c>
    </row>
    <row r="127" spans="22:50" x14ac:dyDescent="0.35">
      <c r="V127" s="2" t="s">
        <v>258</v>
      </c>
      <c r="W127" s="1" t="s">
        <v>0</v>
      </c>
      <c r="AF127" s="4" t="s">
        <v>254</v>
      </c>
      <c r="AG127" s="4" t="s">
        <v>88</v>
      </c>
      <c r="AH127" t="s">
        <v>257</v>
      </c>
      <c r="AI127" s="4" t="s">
        <v>83</v>
      </c>
      <c r="AJ127" t="s">
        <v>82</v>
      </c>
      <c r="AK127" t="s">
        <v>81</v>
      </c>
      <c r="AL127" s="3">
        <v>1446.81</v>
      </c>
      <c r="AM127" s="3">
        <v>1446.81</v>
      </c>
      <c r="AN127" s="3">
        <v>1446.81</v>
      </c>
      <c r="AO127" s="3">
        <v>1446.81</v>
      </c>
      <c r="AP127" s="3">
        <v>1446.81</v>
      </c>
      <c r="AQ127" s="3">
        <v>1446.81</v>
      </c>
      <c r="AR127" s="3">
        <v>1446.81</v>
      </c>
      <c r="AS127" s="3">
        <v>1446.81</v>
      </c>
      <c r="AT127" s="3">
        <v>1446.81</v>
      </c>
      <c r="AU127" s="3">
        <v>1446.81</v>
      </c>
      <c r="AV127" s="3">
        <v>1446.81</v>
      </c>
      <c r="AW127" s="3">
        <v>1446.81</v>
      </c>
      <c r="AX127" s="3">
        <v>17361.719999999998</v>
      </c>
    </row>
    <row r="128" spans="22:50" x14ac:dyDescent="0.35">
      <c r="V128" s="2" t="s">
        <v>256</v>
      </c>
      <c r="W128" s="1" t="s">
        <v>6</v>
      </c>
      <c r="AF128" s="4" t="s">
        <v>254</v>
      </c>
      <c r="AG128" s="4" t="s">
        <v>88</v>
      </c>
      <c r="AH128" t="s">
        <v>176</v>
      </c>
      <c r="AI128" s="4" t="s">
        <v>83</v>
      </c>
      <c r="AJ128" t="s">
        <v>82</v>
      </c>
      <c r="AK128" t="s">
        <v>81</v>
      </c>
      <c r="AL128" s="3">
        <v>940.02</v>
      </c>
      <c r="AM128" s="3">
        <v>940.02</v>
      </c>
      <c r="AN128" s="3">
        <v>940.02</v>
      </c>
      <c r="AO128" s="3">
        <v>940.02</v>
      </c>
      <c r="AP128" s="3">
        <v>940.02</v>
      </c>
      <c r="AQ128" s="3">
        <v>940.02</v>
      </c>
      <c r="AR128" s="3">
        <v>940.02</v>
      </c>
      <c r="AS128" s="3">
        <v>940.02</v>
      </c>
      <c r="AT128" s="3">
        <v>940.02</v>
      </c>
      <c r="AU128" s="3">
        <v>940.02</v>
      </c>
      <c r="AV128" s="3">
        <v>940.02</v>
      </c>
      <c r="AW128" s="3">
        <v>940.02</v>
      </c>
      <c r="AX128" s="3">
        <v>11280.240000000003</v>
      </c>
    </row>
    <row r="129" spans="22:50" x14ac:dyDescent="0.35">
      <c r="V129" s="2" t="s">
        <v>255</v>
      </c>
      <c r="W129" s="1" t="s">
        <v>6</v>
      </c>
      <c r="AF129" s="5" t="s">
        <v>254</v>
      </c>
      <c r="AG129" s="4" t="s">
        <v>88</v>
      </c>
      <c r="AH129" t="s">
        <v>84</v>
      </c>
      <c r="AI129" s="4" t="s">
        <v>83</v>
      </c>
      <c r="AJ129" t="s">
        <v>82</v>
      </c>
      <c r="AK129" t="s">
        <v>81</v>
      </c>
      <c r="AL129" s="3">
        <v>1321.86</v>
      </c>
      <c r="AM129" s="3">
        <v>1321.86</v>
      </c>
      <c r="AN129" s="3">
        <v>1321.86</v>
      </c>
      <c r="AO129" s="3">
        <v>1321.86</v>
      </c>
      <c r="AP129" s="3">
        <v>1321.86</v>
      </c>
      <c r="AQ129" s="3">
        <v>1321.86</v>
      </c>
      <c r="AR129" s="3">
        <v>1321.86</v>
      </c>
      <c r="AS129" s="3">
        <v>1321.86</v>
      </c>
      <c r="AT129" s="3">
        <v>1321.86</v>
      </c>
      <c r="AU129" s="3">
        <v>1321.86</v>
      </c>
      <c r="AV129" s="3">
        <v>1321.86</v>
      </c>
      <c r="AW129" s="3">
        <v>1321.86</v>
      </c>
      <c r="AX129" s="3">
        <v>15862.320000000002</v>
      </c>
    </row>
    <row r="130" spans="22:50" x14ac:dyDescent="0.35">
      <c r="V130" s="2" t="s">
        <v>253</v>
      </c>
      <c r="W130" s="1" t="s">
        <v>2</v>
      </c>
      <c r="AF130" s="4" t="s">
        <v>246</v>
      </c>
      <c r="AG130" s="4" t="s">
        <v>88</v>
      </c>
      <c r="AH130" t="s">
        <v>252</v>
      </c>
      <c r="AI130" s="4" t="s">
        <v>92</v>
      </c>
      <c r="AJ130" t="s">
        <v>91</v>
      </c>
      <c r="AK130" t="s">
        <v>95</v>
      </c>
      <c r="AL130" s="3">
        <v>9906</v>
      </c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9906</v>
      </c>
    </row>
    <row r="131" spans="22:50" x14ac:dyDescent="0.35">
      <c r="V131" s="2" t="s">
        <v>251</v>
      </c>
      <c r="W131" s="1" t="s">
        <v>0</v>
      </c>
      <c r="AF131" s="4" t="s">
        <v>246</v>
      </c>
      <c r="AG131" s="4" t="s">
        <v>88</v>
      </c>
      <c r="AH131" t="s">
        <v>250</v>
      </c>
      <c r="AI131" s="4" t="s">
        <v>83</v>
      </c>
      <c r="AJ131" t="s">
        <v>82</v>
      </c>
      <c r="AK131" t="s">
        <v>95</v>
      </c>
      <c r="AL131" s="3">
        <v>2044.2240000000002</v>
      </c>
      <c r="AM131" s="3">
        <v>2044.2240000000002</v>
      </c>
      <c r="AN131" s="3">
        <v>2044.2240000000002</v>
      </c>
      <c r="AO131" s="3">
        <v>2044.2240000000002</v>
      </c>
      <c r="AP131" s="3">
        <v>2044.2240000000002</v>
      </c>
      <c r="AQ131" s="3">
        <v>2044.2240000000002</v>
      </c>
      <c r="AR131" s="3">
        <v>2044.2240000000002</v>
      </c>
      <c r="AS131" s="3">
        <v>2044.2240000000002</v>
      </c>
      <c r="AT131" s="3">
        <v>2044.2240000000002</v>
      </c>
      <c r="AU131" s="3">
        <v>2044.2240000000002</v>
      </c>
      <c r="AV131" s="3">
        <v>2044.2240000000002</v>
      </c>
      <c r="AW131" s="3">
        <v>2044.2240000000002</v>
      </c>
      <c r="AX131" s="3">
        <v>24530.688000000009</v>
      </c>
    </row>
    <row r="132" spans="22:50" x14ac:dyDescent="0.35">
      <c r="V132" s="2" t="s">
        <v>249</v>
      </c>
      <c r="W132" s="1" t="s">
        <v>6</v>
      </c>
      <c r="AF132" s="4" t="s">
        <v>246</v>
      </c>
      <c r="AG132" s="4" t="s">
        <v>88</v>
      </c>
      <c r="AH132" t="s">
        <v>248</v>
      </c>
      <c r="AI132" s="4" t="s">
        <v>83</v>
      </c>
      <c r="AJ132" t="s">
        <v>96</v>
      </c>
      <c r="AK132" t="s">
        <v>95</v>
      </c>
      <c r="AL132" s="3"/>
      <c r="AM132" s="3">
        <v>13082.055739764377</v>
      </c>
      <c r="AN132" s="3">
        <v>6541.0278698821885</v>
      </c>
      <c r="AO132" s="3">
        <v>6541.0278698821885</v>
      </c>
      <c r="AP132" s="3">
        <v>6541.0278698821885</v>
      </c>
      <c r="AQ132" s="3">
        <v>6541.0278698821885</v>
      </c>
      <c r="AR132" s="3">
        <v>6541.0278698821885</v>
      </c>
      <c r="AS132" s="3">
        <v>6541.0278698821885</v>
      </c>
      <c r="AT132" s="3">
        <v>6541.0278698821885</v>
      </c>
      <c r="AU132" s="3">
        <v>6541.0278698821885</v>
      </c>
      <c r="AV132" s="3">
        <v>6541.0278698821885</v>
      </c>
      <c r="AW132" s="3">
        <v>6541.0278698821885</v>
      </c>
      <c r="AX132" s="3">
        <v>78492.334438586258</v>
      </c>
    </row>
    <row r="133" spans="22:50" x14ac:dyDescent="0.35">
      <c r="V133" s="2" t="s">
        <v>247</v>
      </c>
      <c r="W133" s="1" t="s">
        <v>2</v>
      </c>
      <c r="AF133" s="5" t="s">
        <v>246</v>
      </c>
      <c r="AG133" s="4" t="s">
        <v>88</v>
      </c>
      <c r="AH133" t="s">
        <v>245</v>
      </c>
      <c r="AI133" s="4" t="s">
        <v>83</v>
      </c>
      <c r="AJ133" t="s">
        <v>82</v>
      </c>
      <c r="AK133" t="s">
        <v>95</v>
      </c>
      <c r="AL133" s="3">
        <v>1817.088</v>
      </c>
      <c r="AM133" s="3">
        <v>1817.088</v>
      </c>
      <c r="AN133" s="3">
        <v>1817.088</v>
      </c>
      <c r="AO133" s="3">
        <v>1817.088</v>
      </c>
      <c r="AP133" s="3">
        <v>1817.088</v>
      </c>
      <c r="AQ133" s="3">
        <v>1817.088</v>
      </c>
      <c r="AR133" s="3">
        <v>1817.088</v>
      </c>
      <c r="AS133" s="3">
        <v>1817.088</v>
      </c>
      <c r="AT133" s="3">
        <v>1817.088</v>
      </c>
      <c r="AU133" s="3">
        <v>1817.088</v>
      </c>
      <c r="AV133" s="3">
        <v>1817.088</v>
      </c>
      <c r="AW133" s="3">
        <v>1817.088</v>
      </c>
      <c r="AX133" s="3">
        <v>21805.056</v>
      </c>
    </row>
    <row r="134" spans="22:50" x14ac:dyDescent="0.35">
      <c r="V134" s="2" t="s">
        <v>244</v>
      </c>
      <c r="W134" s="1" t="s">
        <v>2</v>
      </c>
      <c r="AF134" s="5" t="s">
        <v>243</v>
      </c>
      <c r="AG134" s="4" t="s">
        <v>88</v>
      </c>
      <c r="AH134" t="s">
        <v>134</v>
      </c>
      <c r="AI134" s="4" t="s">
        <v>83</v>
      </c>
      <c r="AJ134" t="s">
        <v>82</v>
      </c>
      <c r="AK134" t="s">
        <v>81</v>
      </c>
      <c r="AL134" s="3"/>
      <c r="AM134" s="3">
        <v>10590</v>
      </c>
      <c r="AN134" s="3">
        <v>5295</v>
      </c>
      <c r="AO134" s="3">
        <v>5295</v>
      </c>
      <c r="AP134" s="3">
        <v>5295</v>
      </c>
      <c r="AQ134" s="3">
        <v>5295</v>
      </c>
      <c r="AR134" s="3">
        <v>5295</v>
      </c>
      <c r="AS134" s="3">
        <v>5295</v>
      </c>
      <c r="AT134" s="3">
        <v>5295</v>
      </c>
      <c r="AU134" s="3">
        <v>5295</v>
      </c>
      <c r="AV134" s="3">
        <v>5295</v>
      </c>
      <c r="AW134" s="3">
        <v>5295</v>
      </c>
      <c r="AX134" s="3">
        <v>63540</v>
      </c>
    </row>
    <row r="135" spans="22:50" x14ac:dyDescent="0.35">
      <c r="V135" s="2" t="s">
        <v>242</v>
      </c>
      <c r="W135" s="1" t="s">
        <v>0</v>
      </c>
      <c r="AF135" s="4" t="s">
        <v>236</v>
      </c>
      <c r="AG135" s="4" t="s">
        <v>88</v>
      </c>
      <c r="AH135" t="s">
        <v>241</v>
      </c>
      <c r="AI135" s="4" t="s">
        <v>83</v>
      </c>
      <c r="AJ135" t="s">
        <v>82</v>
      </c>
      <c r="AK135" t="s">
        <v>81</v>
      </c>
      <c r="AL135" s="3">
        <v>2106.6990555555553</v>
      </c>
      <c r="AM135" s="3">
        <v>2106.6990555555553</v>
      </c>
      <c r="AN135" s="3">
        <v>2106.6990555555553</v>
      </c>
      <c r="AO135" s="3">
        <v>2106.6990555555553</v>
      </c>
      <c r="AP135" s="3">
        <v>2106.6990555555553</v>
      </c>
      <c r="AQ135" s="3">
        <v>2106.6990555555553</v>
      </c>
      <c r="AR135" s="3">
        <v>2106.6990555555553</v>
      </c>
      <c r="AS135" s="3">
        <v>2201.5005130555555</v>
      </c>
      <c r="AT135" s="3">
        <v>2201.5005130555555</v>
      </c>
      <c r="AU135" s="3">
        <v>2201.5005130555555</v>
      </c>
      <c r="AV135" s="3">
        <v>2201.5005130555555</v>
      </c>
      <c r="AW135" s="3">
        <v>2201.5005130555555</v>
      </c>
      <c r="AX135" s="3">
        <v>12877.197977083331</v>
      </c>
    </row>
    <row r="136" spans="22:50" x14ac:dyDescent="0.35">
      <c r="V136" s="2" t="s">
        <v>240</v>
      </c>
      <c r="W136" s="1" t="s">
        <v>0</v>
      </c>
      <c r="AF136" s="4" t="s">
        <v>236</v>
      </c>
      <c r="AG136" s="4" t="s">
        <v>88</v>
      </c>
      <c r="AH136" t="s">
        <v>239</v>
      </c>
      <c r="AI136" s="4" t="s">
        <v>83</v>
      </c>
      <c r="AJ136" t="s">
        <v>82</v>
      </c>
      <c r="AK136" t="s">
        <v>81</v>
      </c>
      <c r="AL136" s="3">
        <v>2106.6990555555553</v>
      </c>
      <c r="AM136" s="3">
        <v>2106.6990555555553</v>
      </c>
      <c r="AN136" s="3">
        <v>2106.6990555555553</v>
      </c>
      <c r="AO136" s="3">
        <v>2106.6990555555553</v>
      </c>
      <c r="AP136" s="3">
        <v>2106.6990555555553</v>
      </c>
      <c r="AQ136" s="3">
        <v>2106.6990555555553</v>
      </c>
      <c r="AR136" s="3">
        <v>2106.6990555555553</v>
      </c>
      <c r="AS136" s="3">
        <v>2201.5005130555555</v>
      </c>
      <c r="AT136" s="3">
        <v>2201.5005130555555</v>
      </c>
      <c r="AU136" s="3">
        <v>2201.5005130555555</v>
      </c>
      <c r="AV136" s="3">
        <v>2201.5005130555555</v>
      </c>
      <c r="AW136" s="3">
        <v>2201.5005130555555</v>
      </c>
      <c r="AX136" s="3">
        <v>12877.197977083331</v>
      </c>
    </row>
    <row r="137" spans="22:50" x14ac:dyDescent="0.35">
      <c r="V137" s="2" t="s">
        <v>238</v>
      </c>
      <c r="W137" s="1" t="s">
        <v>0</v>
      </c>
      <c r="AF137" s="4" t="s">
        <v>236</v>
      </c>
      <c r="AG137" s="4" t="s">
        <v>88</v>
      </c>
      <c r="AH137" t="s">
        <v>44</v>
      </c>
      <c r="AI137" s="4" t="s">
        <v>83</v>
      </c>
      <c r="AJ137" t="s">
        <v>82</v>
      </c>
      <c r="AK137" t="s">
        <v>81</v>
      </c>
      <c r="AL137" s="3">
        <v>2106.6990555555553</v>
      </c>
      <c r="AM137" s="3">
        <v>2106.6990555555553</v>
      </c>
      <c r="AN137" s="3">
        <v>2106.6990555555553</v>
      </c>
      <c r="AO137" s="3">
        <v>2106.6990555555553</v>
      </c>
      <c r="AP137" s="3">
        <v>2106.6990555555553</v>
      </c>
      <c r="AQ137" s="3">
        <v>2106.6990555555553</v>
      </c>
      <c r="AR137" s="3">
        <v>2106.6990555555553</v>
      </c>
      <c r="AS137" s="3">
        <v>2201.5005130555555</v>
      </c>
      <c r="AT137" s="3">
        <v>2201.5005130555555</v>
      </c>
      <c r="AU137" s="3">
        <v>2201.5005130555555</v>
      </c>
      <c r="AV137" s="3">
        <v>2201.5005130555555</v>
      </c>
      <c r="AW137" s="3">
        <v>2201.5005130555555</v>
      </c>
      <c r="AX137" s="3">
        <v>12877.197977083331</v>
      </c>
    </row>
    <row r="138" spans="22:50" x14ac:dyDescent="0.35">
      <c r="V138" s="2" t="s">
        <v>237</v>
      </c>
      <c r="W138" s="1" t="s">
        <v>6</v>
      </c>
      <c r="AF138" s="5" t="s">
        <v>236</v>
      </c>
      <c r="AG138" s="4" t="s">
        <v>88</v>
      </c>
      <c r="AH138" t="s">
        <v>235</v>
      </c>
      <c r="AI138" s="4" t="s">
        <v>83</v>
      </c>
      <c r="AJ138" t="s">
        <v>82</v>
      </c>
      <c r="AK138" t="s">
        <v>81</v>
      </c>
      <c r="AL138" s="3">
        <v>2686.58</v>
      </c>
      <c r="AM138" s="3">
        <v>2740.3150000000001</v>
      </c>
      <c r="AN138" s="3">
        <v>2740.3150000000001</v>
      </c>
      <c r="AO138" s="3">
        <v>2740.3150000000001</v>
      </c>
      <c r="AP138" s="3">
        <v>2740.3150000000001</v>
      </c>
      <c r="AQ138" s="3">
        <v>2740.3150000000001</v>
      </c>
      <c r="AR138" s="3">
        <v>2740.3150000000001</v>
      </c>
      <c r="AS138" s="3">
        <v>2740.3150000000001</v>
      </c>
      <c r="AT138" s="3">
        <v>2740.3150000000001</v>
      </c>
      <c r="AU138" s="3">
        <v>2740.3150000000001</v>
      </c>
      <c r="AV138" s="3">
        <v>2740.3150000000001</v>
      </c>
      <c r="AW138" s="3">
        <v>2740.3150000000001</v>
      </c>
      <c r="AX138" s="3">
        <v>16415.022499999995</v>
      </c>
    </row>
    <row r="139" spans="22:50" x14ac:dyDescent="0.35">
      <c r="V139" s="2" t="s">
        <v>234</v>
      </c>
      <c r="W139" s="1" t="s">
        <v>6</v>
      </c>
      <c r="AF139" s="4" t="s">
        <v>231</v>
      </c>
      <c r="AG139" s="4" t="s">
        <v>93</v>
      </c>
      <c r="AH139" t="s">
        <v>230</v>
      </c>
      <c r="AI139" s="4" t="s">
        <v>83</v>
      </c>
      <c r="AJ139" t="s">
        <v>82</v>
      </c>
      <c r="AK139" t="s">
        <v>81</v>
      </c>
      <c r="AL139" s="3">
        <v>1519.8284062499999</v>
      </c>
      <c r="AM139" s="3">
        <v>1519.8284062499999</v>
      </c>
      <c r="AN139" s="3">
        <v>1519.8284062499999</v>
      </c>
      <c r="AO139" s="3">
        <v>1519.8284062499999</v>
      </c>
      <c r="AP139" s="3">
        <v>1519.8284062499999</v>
      </c>
      <c r="AQ139" s="3">
        <v>1519.8284062499999</v>
      </c>
      <c r="AR139" s="3">
        <v>1519.8284062499999</v>
      </c>
      <c r="AS139" s="3">
        <v>1519.8284062499999</v>
      </c>
      <c r="AT139" s="3">
        <v>1519.8284062499999</v>
      </c>
      <c r="AU139" s="3">
        <v>1519.8284062499999</v>
      </c>
      <c r="AV139" s="3">
        <v>1519.8284062499999</v>
      </c>
      <c r="AW139" s="3">
        <v>1519.8284062499999</v>
      </c>
      <c r="AX139" s="3">
        <v>18237.940875</v>
      </c>
    </row>
    <row r="140" spans="22:50" x14ac:dyDescent="0.35">
      <c r="V140" s="2" t="s">
        <v>233</v>
      </c>
      <c r="W140" s="1" t="s">
        <v>6</v>
      </c>
      <c r="AF140" s="4" t="s">
        <v>231</v>
      </c>
      <c r="AG140" s="4" t="s">
        <v>88</v>
      </c>
      <c r="AH140" t="s">
        <v>230</v>
      </c>
      <c r="AI140" s="4" t="s">
        <v>83</v>
      </c>
      <c r="AJ140" t="s">
        <v>82</v>
      </c>
      <c r="AK140" t="s">
        <v>81</v>
      </c>
      <c r="AL140" s="3">
        <v>3473.8935000000001</v>
      </c>
      <c r="AM140" s="3"/>
      <c r="AN140" s="3">
        <v>3473.8935000000001</v>
      </c>
      <c r="AO140" s="3">
        <v>3473.8935000000001</v>
      </c>
      <c r="AP140" s="3">
        <v>3473.8935000000001</v>
      </c>
      <c r="AQ140" s="3">
        <v>3473.8935000000001</v>
      </c>
      <c r="AR140" s="3">
        <v>3473.8935000000001</v>
      </c>
      <c r="AS140" s="3">
        <v>3473.8935000000001</v>
      </c>
      <c r="AT140" s="3">
        <v>3473.8935000000001</v>
      </c>
      <c r="AU140" s="3">
        <v>3473.8935000000001</v>
      </c>
      <c r="AV140" s="3">
        <v>3473.8935000000001</v>
      </c>
      <c r="AW140" s="3">
        <v>3473.8935000000001</v>
      </c>
      <c r="AX140" s="3">
        <v>38212.828499999989</v>
      </c>
    </row>
    <row r="141" spans="22:50" x14ac:dyDescent="0.35">
      <c r="V141" s="2" t="s">
        <v>232</v>
      </c>
      <c r="W141" s="1" t="s">
        <v>2</v>
      </c>
      <c r="AF141" s="5" t="s">
        <v>231</v>
      </c>
      <c r="AG141" s="4" t="s">
        <v>88</v>
      </c>
      <c r="AH141" t="s">
        <v>230</v>
      </c>
      <c r="AI141" s="4" t="s">
        <v>83</v>
      </c>
      <c r="AJ141" t="s">
        <v>91</v>
      </c>
      <c r="AK141" t="s">
        <v>81</v>
      </c>
      <c r="AL141" s="3"/>
      <c r="AM141" s="3">
        <v>3324.3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3324.3</v>
      </c>
    </row>
    <row r="142" spans="22:50" x14ac:dyDescent="0.35">
      <c r="V142" s="2" t="s">
        <v>229</v>
      </c>
      <c r="W142" s="1" t="s">
        <v>2</v>
      </c>
      <c r="AF142" s="5" t="s">
        <v>228</v>
      </c>
      <c r="AG142" s="4" t="s">
        <v>88</v>
      </c>
      <c r="AH142" t="s">
        <v>84</v>
      </c>
      <c r="AI142" s="4" t="s">
        <v>83</v>
      </c>
      <c r="AJ142" t="s">
        <v>82</v>
      </c>
      <c r="AK142" t="s">
        <v>81</v>
      </c>
      <c r="AL142" s="3">
        <v>1304.8</v>
      </c>
      <c r="AM142" s="3">
        <v>1304.8</v>
      </c>
      <c r="AN142" s="3">
        <v>1304.8</v>
      </c>
      <c r="AO142" s="3">
        <v>1304.8</v>
      </c>
      <c r="AP142" s="3">
        <v>1304.8</v>
      </c>
      <c r="AQ142" s="3">
        <v>1304.8</v>
      </c>
      <c r="AR142" s="3">
        <v>1304.8</v>
      </c>
      <c r="AS142" s="3">
        <v>1304.8</v>
      </c>
      <c r="AT142" s="3">
        <v>1304.8</v>
      </c>
      <c r="AU142" s="3">
        <v>1304.8</v>
      </c>
      <c r="AV142" s="3">
        <v>1304.8</v>
      </c>
      <c r="AW142" s="3">
        <v>1304.8</v>
      </c>
      <c r="AX142" s="3">
        <v>15657.599999999997</v>
      </c>
    </row>
    <row r="143" spans="22:50" x14ac:dyDescent="0.35">
      <c r="V143" s="2" t="s">
        <v>227</v>
      </c>
      <c r="W143" s="1" t="s">
        <v>0</v>
      </c>
      <c r="AF143" s="4" t="s">
        <v>219</v>
      </c>
      <c r="AG143" s="4" t="s">
        <v>93</v>
      </c>
      <c r="AH143" t="s">
        <v>222</v>
      </c>
      <c r="AI143" s="4" t="s">
        <v>83</v>
      </c>
      <c r="AJ143" t="s">
        <v>82</v>
      </c>
      <c r="AK143" t="s">
        <v>95</v>
      </c>
      <c r="AL143" s="3">
        <v>1380.09</v>
      </c>
      <c r="AM143" s="3">
        <v>1380.09</v>
      </c>
      <c r="AN143" s="3">
        <v>1380.09</v>
      </c>
      <c r="AO143" s="3">
        <v>1380.09</v>
      </c>
      <c r="AP143" s="3">
        <v>1380.09</v>
      </c>
      <c r="AQ143" s="3">
        <v>1380.09</v>
      </c>
      <c r="AR143" s="3">
        <v>1380.09</v>
      </c>
      <c r="AS143" s="3">
        <v>1380.09</v>
      </c>
      <c r="AT143" s="3">
        <v>1380.09</v>
      </c>
      <c r="AU143" s="3">
        <v>1380.09</v>
      </c>
      <c r="AV143" s="3">
        <v>1380.09</v>
      </c>
      <c r="AW143" s="3">
        <v>1380.09</v>
      </c>
      <c r="AX143" s="3">
        <v>16561.079999999998</v>
      </c>
    </row>
    <row r="144" spans="22:50" x14ac:dyDescent="0.35">
      <c r="V144" s="2" t="s">
        <v>226</v>
      </c>
      <c r="W144" s="1" t="s">
        <v>0</v>
      </c>
      <c r="AF144" s="4" t="s">
        <v>219</v>
      </c>
      <c r="AG144" s="4" t="s">
        <v>93</v>
      </c>
      <c r="AH144" t="s">
        <v>218</v>
      </c>
      <c r="AI144" s="4" t="s">
        <v>83</v>
      </c>
      <c r="AJ144" t="s">
        <v>82</v>
      </c>
      <c r="AK144" t="s">
        <v>95</v>
      </c>
      <c r="AL144" s="3">
        <v>1382.59</v>
      </c>
      <c r="AM144" s="3">
        <v>1382.59</v>
      </c>
      <c r="AN144" s="3">
        <v>1382.59</v>
      </c>
      <c r="AO144" s="3">
        <v>1382.59</v>
      </c>
      <c r="AP144" s="3">
        <v>1382.59</v>
      </c>
      <c r="AQ144" s="3">
        <v>1382.59</v>
      </c>
      <c r="AR144" s="3">
        <v>1382.59</v>
      </c>
      <c r="AS144" s="3">
        <v>1382.59</v>
      </c>
      <c r="AT144" s="3">
        <v>1382.59</v>
      </c>
      <c r="AU144" s="3">
        <v>1382.59</v>
      </c>
      <c r="AV144" s="3">
        <v>1382.59</v>
      </c>
      <c r="AW144" s="3">
        <v>1382.59</v>
      </c>
      <c r="AX144" s="3">
        <v>16591.079999999998</v>
      </c>
    </row>
    <row r="145" spans="22:50" x14ac:dyDescent="0.35">
      <c r="V145" s="2" t="s">
        <v>225</v>
      </c>
      <c r="W145" s="1" t="s">
        <v>6</v>
      </c>
      <c r="AF145" s="4" t="s">
        <v>219</v>
      </c>
      <c r="AG145" s="4" t="s">
        <v>88</v>
      </c>
      <c r="AH145" t="s">
        <v>224</v>
      </c>
      <c r="AI145" s="4" t="s">
        <v>83</v>
      </c>
      <c r="AJ145" t="s">
        <v>82</v>
      </c>
      <c r="AK145" t="s">
        <v>95</v>
      </c>
      <c r="AL145" s="3">
        <v>2556.4499999999998</v>
      </c>
      <c r="AM145" s="3">
        <v>2556.4499999999998</v>
      </c>
      <c r="AN145" s="3">
        <v>2556.4499999999998</v>
      </c>
      <c r="AO145" s="3">
        <v>2556.4499999999998</v>
      </c>
      <c r="AP145" s="3">
        <v>2556.4499999999998</v>
      </c>
      <c r="AQ145" s="3">
        <v>2556.4499999999998</v>
      </c>
      <c r="AR145" s="3">
        <v>2556.4499999999998</v>
      </c>
      <c r="AS145" s="3">
        <v>2556.4499999999998</v>
      </c>
      <c r="AT145" s="3">
        <v>2556.4499999999998</v>
      </c>
      <c r="AU145" s="3">
        <v>2556.4499999999998</v>
      </c>
      <c r="AV145" s="3">
        <v>2556.4499999999998</v>
      </c>
      <c r="AW145" s="3">
        <v>2556.4499999999998</v>
      </c>
      <c r="AX145" s="3">
        <v>30677.400000000005</v>
      </c>
    </row>
    <row r="146" spans="22:50" x14ac:dyDescent="0.35">
      <c r="V146" s="2" t="s">
        <v>223</v>
      </c>
      <c r="W146" s="1" t="s">
        <v>0</v>
      </c>
      <c r="AF146" s="4" t="s">
        <v>219</v>
      </c>
      <c r="AG146" s="4" t="s">
        <v>88</v>
      </c>
      <c r="AH146" t="s">
        <v>222</v>
      </c>
      <c r="AI146" s="4" t="s">
        <v>83</v>
      </c>
      <c r="AJ146" t="s">
        <v>82</v>
      </c>
      <c r="AK146" t="s">
        <v>95</v>
      </c>
      <c r="AL146" s="3">
        <v>3220.2</v>
      </c>
      <c r="AM146" s="3">
        <v>3220.2</v>
      </c>
      <c r="AN146" s="3">
        <v>3220.2</v>
      </c>
      <c r="AO146" s="3">
        <v>3220.2</v>
      </c>
      <c r="AP146" s="3">
        <v>3220.2</v>
      </c>
      <c r="AQ146" s="3">
        <v>3220.2</v>
      </c>
      <c r="AR146" s="3">
        <v>3220.2</v>
      </c>
      <c r="AS146" s="3">
        <v>3220.2</v>
      </c>
      <c r="AT146" s="3">
        <v>3220.2</v>
      </c>
      <c r="AU146" s="3">
        <v>3220.2</v>
      </c>
      <c r="AV146" s="3">
        <v>3220.2</v>
      </c>
      <c r="AW146" s="3">
        <v>3220.2</v>
      </c>
      <c r="AX146" s="3">
        <v>38642.400000000001</v>
      </c>
    </row>
    <row r="147" spans="22:50" x14ac:dyDescent="0.35">
      <c r="V147" s="2" t="s">
        <v>221</v>
      </c>
      <c r="W147" s="1" t="s">
        <v>6</v>
      </c>
      <c r="AF147" s="4" t="s">
        <v>219</v>
      </c>
      <c r="AG147" s="4" t="s">
        <v>88</v>
      </c>
      <c r="AH147" t="s">
        <v>218</v>
      </c>
      <c r="AI147" s="4" t="s">
        <v>83</v>
      </c>
      <c r="AJ147" t="s">
        <v>82</v>
      </c>
      <c r="AK147" t="s">
        <v>95</v>
      </c>
      <c r="AL147" s="3">
        <v>3226.04</v>
      </c>
      <c r="AM147" s="3">
        <v>3226.04</v>
      </c>
      <c r="AN147" s="3">
        <v>3226.04</v>
      </c>
      <c r="AO147" s="3">
        <v>3226.04</v>
      </c>
      <c r="AP147" s="3">
        <v>3226.04</v>
      </c>
      <c r="AQ147" s="3">
        <v>3226.04</v>
      </c>
      <c r="AR147" s="3">
        <v>3226.04</v>
      </c>
      <c r="AS147" s="3">
        <v>3226.04</v>
      </c>
      <c r="AT147" s="3">
        <v>3226.04</v>
      </c>
      <c r="AU147" s="3">
        <v>3226.04</v>
      </c>
      <c r="AV147" s="3">
        <v>3226.04</v>
      </c>
      <c r="AW147" s="3">
        <v>3226.04</v>
      </c>
      <c r="AX147" s="3">
        <v>38712.480000000003</v>
      </c>
    </row>
    <row r="148" spans="22:50" x14ac:dyDescent="0.35">
      <c r="V148" s="2" t="s">
        <v>220</v>
      </c>
      <c r="W148" s="1" t="s">
        <v>6</v>
      </c>
      <c r="AF148" s="5" t="s">
        <v>219</v>
      </c>
      <c r="AG148" s="4" t="s">
        <v>146</v>
      </c>
      <c r="AH148" t="s">
        <v>218</v>
      </c>
      <c r="AI148" s="4" t="s">
        <v>83</v>
      </c>
      <c r="AJ148" t="s">
        <v>82</v>
      </c>
      <c r="AK148" t="s">
        <v>95</v>
      </c>
      <c r="AL148" s="3">
        <v>2751.7</v>
      </c>
      <c r="AM148" s="3">
        <v>2751.7</v>
      </c>
      <c r="AN148" s="3">
        <v>2751.7</v>
      </c>
      <c r="AO148" s="3">
        <v>2751.7</v>
      </c>
      <c r="AP148" s="3">
        <v>2751.7</v>
      </c>
      <c r="AQ148" s="3">
        <v>2751.7</v>
      </c>
      <c r="AR148" s="3">
        <v>2751.7</v>
      </c>
      <c r="AS148" s="3">
        <v>2751.7</v>
      </c>
      <c r="AT148" s="3">
        <v>2751.7</v>
      </c>
      <c r="AU148" s="3">
        <v>2751.7</v>
      </c>
      <c r="AV148" s="3">
        <v>2751.7</v>
      </c>
      <c r="AW148" s="3">
        <v>2751.7</v>
      </c>
      <c r="AX148" s="3">
        <v>33020.400000000001</v>
      </c>
    </row>
    <row r="149" spans="22:50" x14ac:dyDescent="0.35">
      <c r="V149" s="2" t="s">
        <v>217</v>
      </c>
      <c r="W149" s="1" t="s">
        <v>6</v>
      </c>
      <c r="AF149" s="4" t="s">
        <v>215</v>
      </c>
      <c r="AG149" s="4" t="s">
        <v>88</v>
      </c>
      <c r="AH149" t="s">
        <v>102</v>
      </c>
      <c r="AI149" s="4" t="s">
        <v>83</v>
      </c>
      <c r="AJ149" t="s">
        <v>82</v>
      </c>
      <c r="AK149" t="s">
        <v>95</v>
      </c>
      <c r="AL149" s="3">
        <v>2363.14</v>
      </c>
      <c r="AM149" s="3">
        <v>2363.14</v>
      </c>
      <c r="AN149" s="3">
        <v>2363.14</v>
      </c>
      <c r="AO149" s="3">
        <v>2363.14</v>
      </c>
      <c r="AP149" s="3">
        <v>2363.14</v>
      </c>
      <c r="AQ149" s="3">
        <v>2363.14</v>
      </c>
      <c r="AR149" s="3">
        <v>2363.14</v>
      </c>
      <c r="AS149" s="3">
        <v>2363.14</v>
      </c>
      <c r="AT149" s="3">
        <v>2363.14</v>
      </c>
      <c r="AU149" s="3">
        <v>2363.14</v>
      </c>
      <c r="AV149" s="3">
        <v>2363.14</v>
      </c>
      <c r="AW149" s="3">
        <v>2363.14</v>
      </c>
      <c r="AX149" s="3">
        <v>28357.679999999997</v>
      </c>
    </row>
    <row r="150" spans="22:50" x14ac:dyDescent="0.35">
      <c r="V150" s="2" t="s">
        <v>216</v>
      </c>
      <c r="W150" s="1" t="s">
        <v>6</v>
      </c>
      <c r="AF150" s="5" t="s">
        <v>215</v>
      </c>
      <c r="AG150" s="4" t="s">
        <v>88</v>
      </c>
      <c r="AH150" t="s">
        <v>214</v>
      </c>
      <c r="AI150" s="4" t="s">
        <v>83</v>
      </c>
      <c r="AJ150" t="s">
        <v>82</v>
      </c>
      <c r="AK150" t="s">
        <v>95</v>
      </c>
      <c r="AL150" s="3">
        <v>3324.88</v>
      </c>
      <c r="AM150" s="3">
        <v>3324.88</v>
      </c>
      <c r="AN150" s="3">
        <v>3324.88</v>
      </c>
      <c r="AO150" s="3">
        <v>3324.88</v>
      </c>
      <c r="AP150" s="3">
        <v>3324.88</v>
      </c>
      <c r="AQ150" s="3">
        <v>3324.88</v>
      </c>
      <c r="AR150" s="3">
        <v>3324.88</v>
      </c>
      <c r="AS150" s="3">
        <v>3324.88</v>
      </c>
      <c r="AT150" s="3">
        <v>3324.88</v>
      </c>
      <c r="AU150" s="3">
        <v>3324.88</v>
      </c>
      <c r="AV150" s="3">
        <v>3324.88</v>
      </c>
      <c r="AW150" s="3">
        <v>3324.88</v>
      </c>
      <c r="AX150" s="3">
        <v>39898.559999999998</v>
      </c>
    </row>
    <row r="151" spans="22:50" x14ac:dyDescent="0.35">
      <c r="V151" s="2" t="s">
        <v>213</v>
      </c>
      <c r="W151" s="1" t="s">
        <v>6</v>
      </c>
      <c r="AF151" s="4" t="s">
        <v>203</v>
      </c>
      <c r="AG151" s="4" t="s">
        <v>93</v>
      </c>
      <c r="AH151" t="s">
        <v>176</v>
      </c>
      <c r="AI151" s="4" t="s">
        <v>83</v>
      </c>
      <c r="AJ151" t="s">
        <v>96</v>
      </c>
      <c r="AK151" t="s">
        <v>95</v>
      </c>
      <c r="AL151" s="3">
        <v>891.4</v>
      </c>
      <c r="AM151" s="3">
        <v>891.4</v>
      </c>
      <c r="AN151" s="3">
        <v>891.4</v>
      </c>
      <c r="AO151" s="3">
        <v>891.4</v>
      </c>
      <c r="AP151" s="3">
        <v>891.4</v>
      </c>
      <c r="AQ151" s="3">
        <v>891.4</v>
      </c>
      <c r="AR151" s="3">
        <v>891.4</v>
      </c>
      <c r="AS151" s="3">
        <v>891.4</v>
      </c>
      <c r="AT151" s="3">
        <v>891.4</v>
      </c>
      <c r="AU151" s="3">
        <v>891.4</v>
      </c>
      <c r="AV151" s="3">
        <v>891.4</v>
      </c>
      <c r="AW151" s="3">
        <v>891.4</v>
      </c>
      <c r="AX151" s="3">
        <v>10696.799999999997</v>
      </c>
    </row>
    <row r="152" spans="22:50" x14ac:dyDescent="0.35">
      <c r="V152" s="2" t="s">
        <v>212</v>
      </c>
      <c r="W152" s="1" t="s">
        <v>2</v>
      </c>
      <c r="AF152" s="4" t="s">
        <v>203</v>
      </c>
      <c r="AG152" s="4" t="s">
        <v>93</v>
      </c>
      <c r="AH152" t="s">
        <v>84</v>
      </c>
      <c r="AI152" s="4" t="s">
        <v>83</v>
      </c>
      <c r="AJ152" t="s">
        <v>96</v>
      </c>
      <c r="AK152" t="s">
        <v>95</v>
      </c>
      <c r="AL152" s="3">
        <v>891.4</v>
      </c>
      <c r="AM152" s="3">
        <v>891.4</v>
      </c>
      <c r="AN152" s="3">
        <v>891.4</v>
      </c>
      <c r="AO152" s="3">
        <v>891.4</v>
      </c>
      <c r="AP152" s="3">
        <v>891.4</v>
      </c>
      <c r="AQ152" s="3">
        <v>891.4</v>
      </c>
      <c r="AR152" s="3">
        <v>891.4</v>
      </c>
      <c r="AS152" s="3">
        <v>891.4</v>
      </c>
      <c r="AT152" s="3">
        <v>891.4</v>
      </c>
      <c r="AU152" s="3">
        <v>891.4</v>
      </c>
      <c r="AV152" s="3">
        <v>891.4</v>
      </c>
      <c r="AW152" s="3">
        <v>891.4</v>
      </c>
      <c r="AX152" s="3">
        <v>10696.799999999997</v>
      </c>
    </row>
    <row r="153" spans="22:50" x14ac:dyDescent="0.35">
      <c r="V153" s="2" t="s">
        <v>211</v>
      </c>
      <c r="W153" s="1" t="s">
        <v>0</v>
      </c>
      <c r="AF153" s="4" t="s">
        <v>203</v>
      </c>
      <c r="AG153" s="4" t="s">
        <v>88</v>
      </c>
      <c r="AH153" t="s">
        <v>187</v>
      </c>
      <c r="AI153" s="4" t="s">
        <v>83</v>
      </c>
      <c r="AJ153" t="s">
        <v>209</v>
      </c>
      <c r="AK153" t="s">
        <v>95</v>
      </c>
      <c r="AL153" s="3">
        <v>1310.8</v>
      </c>
      <c r="AM153" s="3">
        <v>1310.8</v>
      </c>
      <c r="AN153" s="3">
        <v>1310.8</v>
      </c>
      <c r="AO153" s="3">
        <v>1310.8</v>
      </c>
      <c r="AP153" s="3">
        <v>1310.8</v>
      </c>
      <c r="AQ153" s="3">
        <v>1310.8</v>
      </c>
      <c r="AR153" s="3">
        <v>1310.8</v>
      </c>
      <c r="AS153" s="3">
        <v>1310.8</v>
      </c>
      <c r="AT153" s="3">
        <v>1310.8</v>
      </c>
      <c r="AU153" s="3">
        <v>1310.8</v>
      </c>
      <c r="AV153" s="3">
        <v>1310.8</v>
      </c>
      <c r="AW153" s="3">
        <v>1310.8</v>
      </c>
      <c r="AX153" s="3">
        <v>15729.599999999997</v>
      </c>
    </row>
    <row r="154" spans="22:50" x14ac:dyDescent="0.35">
      <c r="V154" s="2" t="s">
        <v>210</v>
      </c>
      <c r="W154" s="1" t="s">
        <v>0</v>
      </c>
      <c r="AF154" s="4" t="s">
        <v>203</v>
      </c>
      <c r="AG154" s="4" t="s">
        <v>88</v>
      </c>
      <c r="AH154" t="s">
        <v>178</v>
      </c>
      <c r="AI154" s="4" t="s">
        <v>83</v>
      </c>
      <c r="AJ154" t="s">
        <v>209</v>
      </c>
      <c r="AK154" t="s">
        <v>95</v>
      </c>
      <c r="AL154" s="3">
        <v>1310.8</v>
      </c>
      <c r="AM154" s="3">
        <v>1310.8</v>
      </c>
      <c r="AN154" s="3">
        <v>1310.8</v>
      </c>
      <c r="AO154" s="3">
        <v>1310.8</v>
      </c>
      <c r="AP154" s="3">
        <v>1310.8</v>
      </c>
      <c r="AQ154" s="3">
        <v>1310.8</v>
      </c>
      <c r="AR154" s="3">
        <v>1310.8</v>
      </c>
      <c r="AS154" s="3">
        <v>1310.8</v>
      </c>
      <c r="AT154" s="3">
        <v>1310.8</v>
      </c>
      <c r="AU154" s="3">
        <v>1310.8</v>
      </c>
      <c r="AV154" s="3">
        <v>1310.8</v>
      </c>
      <c r="AW154" s="3">
        <v>1310.8</v>
      </c>
      <c r="AX154" s="3">
        <v>15729.599999999997</v>
      </c>
    </row>
    <row r="155" spans="22:50" x14ac:dyDescent="0.35">
      <c r="V155" s="2" t="s">
        <v>208</v>
      </c>
      <c r="W155" s="1" t="s">
        <v>2</v>
      </c>
      <c r="AF155" s="4" t="s">
        <v>203</v>
      </c>
      <c r="AG155" s="4" t="s">
        <v>88</v>
      </c>
      <c r="AH155" t="s">
        <v>176</v>
      </c>
      <c r="AI155" s="4" t="s">
        <v>83</v>
      </c>
      <c r="AJ155" t="s">
        <v>96</v>
      </c>
      <c r="AK155" t="s">
        <v>95</v>
      </c>
      <c r="AL155" s="3">
        <v>2228.4</v>
      </c>
      <c r="AM155" s="3">
        <v>2228.4</v>
      </c>
      <c r="AN155" s="3">
        <v>2228.4</v>
      </c>
      <c r="AO155" s="3">
        <v>2228.4</v>
      </c>
      <c r="AP155" s="3">
        <v>2228.4</v>
      </c>
      <c r="AQ155" s="3">
        <v>2228.4</v>
      </c>
      <c r="AR155" s="3">
        <v>2228.4</v>
      </c>
      <c r="AS155" s="3">
        <v>2228.4</v>
      </c>
      <c r="AT155" s="3">
        <v>2228.4</v>
      </c>
      <c r="AU155" s="3">
        <v>2228.4</v>
      </c>
      <c r="AV155" s="3">
        <v>2228.4</v>
      </c>
      <c r="AW155" s="3">
        <v>2228.4</v>
      </c>
      <c r="AX155" s="3">
        <v>26740.800000000007</v>
      </c>
    </row>
    <row r="156" spans="22:50" x14ac:dyDescent="0.35">
      <c r="V156" s="2" t="s">
        <v>207</v>
      </c>
      <c r="W156" s="1" t="s">
        <v>6</v>
      </c>
      <c r="AF156" s="4" t="s">
        <v>203</v>
      </c>
      <c r="AG156" s="4" t="s">
        <v>88</v>
      </c>
      <c r="AH156" t="s">
        <v>84</v>
      </c>
      <c r="AI156" s="4" t="s">
        <v>83</v>
      </c>
      <c r="AJ156" t="s">
        <v>96</v>
      </c>
      <c r="AK156" t="s">
        <v>95</v>
      </c>
      <c r="AL156" s="3">
        <v>2228.4</v>
      </c>
      <c r="AM156" s="3">
        <v>2228.4</v>
      </c>
      <c r="AN156" s="3">
        <v>2228.4</v>
      </c>
      <c r="AO156" s="3">
        <v>2228.4</v>
      </c>
      <c r="AP156" s="3">
        <v>2228.4</v>
      </c>
      <c r="AQ156" s="3">
        <v>2228.4</v>
      </c>
      <c r="AR156" s="3">
        <v>2228.4</v>
      </c>
      <c r="AS156" s="3">
        <v>2228.4</v>
      </c>
      <c r="AT156" s="3">
        <v>2228.4</v>
      </c>
      <c r="AU156" s="3">
        <v>2228.4</v>
      </c>
      <c r="AV156" s="3">
        <v>2228.4</v>
      </c>
      <c r="AW156" s="3">
        <v>2228.4</v>
      </c>
      <c r="AX156" s="3">
        <v>26740.800000000007</v>
      </c>
    </row>
    <row r="157" spans="22:50" x14ac:dyDescent="0.35">
      <c r="V157" s="2" t="s">
        <v>206</v>
      </c>
      <c r="W157" s="1" t="s">
        <v>6</v>
      </c>
      <c r="AF157" s="4" t="s">
        <v>203</v>
      </c>
      <c r="AG157" s="4" t="s">
        <v>173</v>
      </c>
      <c r="AH157" t="s">
        <v>205</v>
      </c>
      <c r="AI157" s="4" t="s">
        <v>83</v>
      </c>
      <c r="AJ157" t="s">
        <v>91</v>
      </c>
      <c r="AK157" t="s">
        <v>95</v>
      </c>
      <c r="AL157" s="3"/>
      <c r="AM157" s="3"/>
      <c r="AN157" s="3"/>
      <c r="AO157" s="3"/>
      <c r="AP157" s="3"/>
      <c r="AQ157" s="3"/>
      <c r="AR157" s="3"/>
      <c r="AS157" s="3"/>
      <c r="AT157" s="3"/>
      <c r="AU157" s="3">
        <v>9399.6</v>
      </c>
      <c r="AV157" s="3"/>
      <c r="AW157" s="3"/>
      <c r="AX157" s="3">
        <v>9399.6</v>
      </c>
    </row>
    <row r="158" spans="22:50" x14ac:dyDescent="0.35">
      <c r="V158" s="2" t="s">
        <v>204</v>
      </c>
      <c r="W158" s="1" t="s">
        <v>2</v>
      </c>
      <c r="AF158" s="5" t="s">
        <v>203</v>
      </c>
      <c r="AG158" s="4" t="s">
        <v>173</v>
      </c>
      <c r="AH158" t="s">
        <v>176</v>
      </c>
      <c r="AI158" s="4" t="s">
        <v>83</v>
      </c>
      <c r="AJ158" t="s">
        <v>91</v>
      </c>
      <c r="AK158" t="s">
        <v>95</v>
      </c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9399.6</v>
      </c>
      <c r="AV158" s="3"/>
      <c r="AW158" s="3"/>
      <c r="AX158" s="3">
        <v>9399.6</v>
      </c>
    </row>
    <row r="159" spans="22:50" x14ac:dyDescent="0.35">
      <c r="V159" s="2" t="s">
        <v>202</v>
      </c>
      <c r="W159" s="1" t="s">
        <v>6</v>
      </c>
      <c r="AF159" s="4" t="s">
        <v>198</v>
      </c>
      <c r="AG159" s="4" t="s">
        <v>93</v>
      </c>
      <c r="AH159" t="s">
        <v>197</v>
      </c>
      <c r="AI159" s="4" t="s">
        <v>83</v>
      </c>
      <c r="AJ159" t="s">
        <v>82</v>
      </c>
      <c r="AK159" t="s">
        <v>81</v>
      </c>
      <c r="AL159" s="3"/>
      <c r="AM159" s="3">
        <v>3419.41</v>
      </c>
      <c r="AN159" s="3">
        <v>1715.1890000000003</v>
      </c>
      <c r="AO159" s="3">
        <v>1715.1890000000003</v>
      </c>
      <c r="AP159" s="3">
        <v>1715.1890000000003</v>
      </c>
      <c r="AQ159" s="3">
        <v>1715.1890000000003</v>
      </c>
      <c r="AR159" s="3">
        <v>1715.1890000000003</v>
      </c>
      <c r="AS159" s="3">
        <v>1715.1890000000003</v>
      </c>
      <c r="AT159" s="3">
        <v>1715.1890000000003</v>
      </c>
      <c r="AU159" s="3">
        <v>1715.1890000000003</v>
      </c>
      <c r="AV159" s="3">
        <v>1715.1890000000003</v>
      </c>
      <c r="AW159" s="3">
        <v>1715.1890000000003</v>
      </c>
      <c r="AX159" s="3">
        <v>20571.300000000003</v>
      </c>
    </row>
    <row r="160" spans="22:50" x14ac:dyDescent="0.35">
      <c r="V160" s="2" t="s">
        <v>201</v>
      </c>
      <c r="W160" s="1" t="s">
        <v>6</v>
      </c>
      <c r="AF160" s="4" t="s">
        <v>198</v>
      </c>
      <c r="AG160" s="4" t="s">
        <v>88</v>
      </c>
      <c r="AH160" t="s">
        <v>200</v>
      </c>
      <c r="AI160" s="4" t="s">
        <v>83</v>
      </c>
      <c r="AJ160" t="s">
        <v>82</v>
      </c>
      <c r="AK160" t="s">
        <v>81</v>
      </c>
      <c r="AL160" s="3"/>
      <c r="AM160" s="3">
        <v>3334.08</v>
      </c>
      <c r="AN160" s="3">
        <v>1623.5519999999999</v>
      </c>
      <c r="AO160" s="3">
        <v>1623.5519999999999</v>
      </c>
      <c r="AP160" s="3">
        <v>1623.5519999999999</v>
      </c>
      <c r="AQ160" s="3">
        <v>1623.5519999999999</v>
      </c>
      <c r="AR160" s="3">
        <v>1623.5519999999999</v>
      </c>
      <c r="AS160" s="3">
        <v>1623.5519999999999</v>
      </c>
      <c r="AT160" s="3">
        <v>1623.5519999999999</v>
      </c>
      <c r="AU160" s="3">
        <v>1623.5519999999999</v>
      </c>
      <c r="AV160" s="3">
        <v>1623.5519999999999</v>
      </c>
      <c r="AW160" s="3">
        <v>1623.5519999999999</v>
      </c>
      <c r="AX160" s="3">
        <v>19569.599999999999</v>
      </c>
    </row>
    <row r="161" spans="22:50" x14ac:dyDescent="0.35">
      <c r="V161" s="2" t="s">
        <v>199</v>
      </c>
      <c r="W161" s="1" t="s">
        <v>0</v>
      </c>
      <c r="AF161" s="5" t="s">
        <v>198</v>
      </c>
      <c r="AG161" s="4" t="s">
        <v>88</v>
      </c>
      <c r="AH161" t="s">
        <v>197</v>
      </c>
      <c r="AI161" s="4" t="s">
        <v>83</v>
      </c>
      <c r="AJ161" t="s">
        <v>82</v>
      </c>
      <c r="AK161" t="s">
        <v>81</v>
      </c>
      <c r="AL161" s="3"/>
      <c r="AM161" s="3">
        <v>4825.2466666666669</v>
      </c>
      <c r="AN161" s="3">
        <v>3224.9353333333333</v>
      </c>
      <c r="AO161" s="3">
        <v>3224.9353333333333</v>
      </c>
      <c r="AP161" s="3">
        <v>3224.9353333333333</v>
      </c>
      <c r="AQ161" s="3">
        <v>3224.9353333333333</v>
      </c>
      <c r="AR161" s="3">
        <v>3224.9353333333333</v>
      </c>
      <c r="AS161" s="3">
        <v>3224.9353333333333</v>
      </c>
      <c r="AT161" s="3">
        <v>3224.9353333333333</v>
      </c>
      <c r="AU161" s="3">
        <v>3224.9353333333333</v>
      </c>
      <c r="AV161" s="3">
        <v>3224.9353333333333</v>
      </c>
      <c r="AW161" s="3">
        <v>3224.9353333333333</v>
      </c>
      <c r="AX161" s="3">
        <v>37074.600000000006</v>
      </c>
    </row>
    <row r="162" spans="22:50" x14ac:dyDescent="0.35">
      <c r="V162" s="2" t="s">
        <v>196</v>
      </c>
      <c r="W162" s="1" t="s">
        <v>2</v>
      </c>
      <c r="AF162" s="5" t="s">
        <v>195</v>
      </c>
      <c r="AG162" s="4" t="s">
        <v>88</v>
      </c>
      <c r="AH162" t="s">
        <v>194</v>
      </c>
      <c r="AI162" s="4" t="s">
        <v>92</v>
      </c>
      <c r="AJ162" t="s">
        <v>117</v>
      </c>
      <c r="AK162" t="s">
        <v>81</v>
      </c>
      <c r="AL162" s="3">
        <v>13820</v>
      </c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13820</v>
      </c>
    </row>
    <row r="163" spans="22:50" x14ac:dyDescent="0.35">
      <c r="V163" s="2" t="s">
        <v>193</v>
      </c>
      <c r="W163" s="1" t="s">
        <v>6</v>
      </c>
      <c r="AF163" s="4" t="s">
        <v>174</v>
      </c>
      <c r="AG163" s="4" t="s">
        <v>93</v>
      </c>
      <c r="AH163" t="s">
        <v>185</v>
      </c>
      <c r="AI163" s="4" t="s">
        <v>83</v>
      </c>
      <c r="AJ163" t="s">
        <v>82</v>
      </c>
      <c r="AK163" t="s">
        <v>172</v>
      </c>
      <c r="AL163" s="3">
        <v>1120</v>
      </c>
      <c r="AM163" s="3">
        <v>1120</v>
      </c>
      <c r="AN163" s="3">
        <v>1120</v>
      </c>
      <c r="AO163" s="3">
        <v>1120</v>
      </c>
      <c r="AP163" s="3">
        <v>1120</v>
      </c>
      <c r="AQ163" s="3">
        <v>1120</v>
      </c>
      <c r="AR163" s="3">
        <v>1120</v>
      </c>
      <c r="AS163" s="3">
        <v>1120</v>
      </c>
      <c r="AT163" s="3">
        <v>1120</v>
      </c>
      <c r="AU163" s="3">
        <v>1120</v>
      </c>
      <c r="AV163" s="3">
        <v>1120</v>
      </c>
      <c r="AW163" s="3">
        <v>1120</v>
      </c>
      <c r="AX163" s="3">
        <v>13440</v>
      </c>
    </row>
    <row r="164" spans="22:50" x14ac:dyDescent="0.35">
      <c r="V164" s="2" t="s">
        <v>192</v>
      </c>
      <c r="W164" s="1" t="s">
        <v>0</v>
      </c>
      <c r="AF164" s="4" t="s">
        <v>174</v>
      </c>
      <c r="AG164" s="4" t="s">
        <v>93</v>
      </c>
      <c r="AH164" t="s">
        <v>178</v>
      </c>
      <c r="AI164" s="4" t="s">
        <v>83</v>
      </c>
      <c r="AJ164" t="s">
        <v>82</v>
      </c>
      <c r="AK164" t="s">
        <v>172</v>
      </c>
      <c r="AL164" s="3">
        <v>1556.5</v>
      </c>
      <c r="AM164" s="3">
        <v>1556.5</v>
      </c>
      <c r="AN164" s="3">
        <v>1556.5</v>
      </c>
      <c r="AO164" s="3">
        <v>1556.5</v>
      </c>
      <c r="AP164" s="3">
        <v>1556.5</v>
      </c>
      <c r="AQ164" s="3">
        <v>1556.5</v>
      </c>
      <c r="AR164" s="3">
        <v>1556.5</v>
      </c>
      <c r="AS164" s="3">
        <v>1556.5</v>
      </c>
      <c r="AT164" s="3">
        <v>1556.5</v>
      </c>
      <c r="AU164" s="3">
        <v>1556.5</v>
      </c>
      <c r="AV164" s="3">
        <v>1556.5</v>
      </c>
      <c r="AW164" s="3">
        <v>1556.5</v>
      </c>
      <c r="AX164" s="3">
        <v>18678</v>
      </c>
    </row>
    <row r="165" spans="22:50" x14ac:dyDescent="0.35">
      <c r="V165" s="2" t="s">
        <v>191</v>
      </c>
      <c r="W165" s="1" t="s">
        <v>2</v>
      </c>
      <c r="AF165" s="4" t="s">
        <v>174</v>
      </c>
      <c r="AG165" s="4" t="s">
        <v>93</v>
      </c>
      <c r="AH165" t="s">
        <v>176</v>
      </c>
      <c r="AI165" s="4" t="s">
        <v>83</v>
      </c>
      <c r="AJ165" t="s">
        <v>82</v>
      </c>
      <c r="AK165" t="s">
        <v>172</v>
      </c>
      <c r="AL165" s="3">
        <v>1418.0649999999998</v>
      </c>
      <c r="AM165" s="3">
        <v>1418.0649999999998</v>
      </c>
      <c r="AN165" s="3">
        <v>1418.0649999999998</v>
      </c>
      <c r="AO165" s="3">
        <v>1418.0649999999998</v>
      </c>
      <c r="AP165" s="3">
        <v>1418.0649999999998</v>
      </c>
      <c r="AQ165" s="3">
        <v>1418.0649999999998</v>
      </c>
      <c r="AR165" s="3">
        <v>1418.0649999999998</v>
      </c>
      <c r="AS165" s="3">
        <v>1418.0649999999998</v>
      </c>
      <c r="AT165" s="3">
        <v>1418.0649999999998</v>
      </c>
      <c r="AU165" s="3">
        <v>1418.0649999999998</v>
      </c>
      <c r="AV165" s="3">
        <v>1418.0649999999998</v>
      </c>
      <c r="AW165" s="3">
        <v>1418.0649999999998</v>
      </c>
      <c r="AX165" s="3">
        <v>17016.780000000002</v>
      </c>
    </row>
    <row r="166" spans="22:50" x14ac:dyDescent="0.35">
      <c r="V166" s="2" t="s">
        <v>190</v>
      </c>
      <c r="W166" s="1" t="s">
        <v>0</v>
      </c>
      <c r="AF166" s="4" t="s">
        <v>174</v>
      </c>
      <c r="AG166" s="4" t="s">
        <v>93</v>
      </c>
      <c r="AH166" t="s">
        <v>84</v>
      </c>
      <c r="AI166" s="4" t="s">
        <v>83</v>
      </c>
      <c r="AJ166" t="s">
        <v>82</v>
      </c>
      <c r="AK166" t="s">
        <v>172</v>
      </c>
      <c r="AL166" s="3">
        <v>1600</v>
      </c>
      <c r="AM166" s="3">
        <v>1600</v>
      </c>
      <c r="AN166" s="3">
        <v>1600</v>
      </c>
      <c r="AO166" s="3">
        <v>1600</v>
      </c>
      <c r="AP166" s="3">
        <v>1600</v>
      </c>
      <c r="AQ166" s="3">
        <v>1600</v>
      </c>
      <c r="AR166" s="3">
        <v>1600</v>
      </c>
      <c r="AS166" s="3">
        <v>1600</v>
      </c>
      <c r="AT166" s="3">
        <v>1600</v>
      </c>
      <c r="AU166" s="3">
        <v>1600</v>
      </c>
      <c r="AV166" s="3">
        <v>1600</v>
      </c>
      <c r="AW166" s="3">
        <v>1600</v>
      </c>
      <c r="AX166" s="3">
        <v>19200</v>
      </c>
    </row>
    <row r="167" spans="22:50" x14ac:dyDescent="0.35">
      <c r="V167" s="2" t="s">
        <v>189</v>
      </c>
      <c r="W167" s="1" t="s">
        <v>6</v>
      </c>
      <c r="AF167" s="4" t="s">
        <v>174</v>
      </c>
      <c r="AG167" s="4" t="s">
        <v>93</v>
      </c>
      <c r="AH167" t="s">
        <v>180</v>
      </c>
      <c r="AI167" s="4" t="s">
        <v>83</v>
      </c>
      <c r="AJ167" t="s">
        <v>82</v>
      </c>
      <c r="AK167" t="s">
        <v>172</v>
      </c>
      <c r="AL167" s="3">
        <v>989</v>
      </c>
      <c r="AM167" s="3">
        <v>989</v>
      </c>
      <c r="AN167" s="3">
        <v>989</v>
      </c>
      <c r="AO167" s="3">
        <v>989</v>
      </c>
      <c r="AP167" s="3">
        <v>989</v>
      </c>
      <c r="AQ167" s="3">
        <v>989</v>
      </c>
      <c r="AR167" s="3">
        <v>989</v>
      </c>
      <c r="AS167" s="3">
        <v>989</v>
      </c>
      <c r="AT167" s="3">
        <v>989</v>
      </c>
      <c r="AU167" s="3">
        <v>989</v>
      </c>
      <c r="AV167" s="3">
        <v>989</v>
      </c>
      <c r="AW167" s="3">
        <v>989</v>
      </c>
      <c r="AX167" s="3">
        <v>11868</v>
      </c>
    </row>
    <row r="168" spans="22:50" x14ac:dyDescent="0.35">
      <c r="V168" s="2" t="s">
        <v>188</v>
      </c>
      <c r="W168" s="1" t="s">
        <v>6</v>
      </c>
      <c r="AF168" s="4" t="s">
        <v>174</v>
      </c>
      <c r="AG168" s="4" t="s">
        <v>88</v>
      </c>
      <c r="AH168" t="s">
        <v>187</v>
      </c>
      <c r="AI168" s="4" t="s">
        <v>83</v>
      </c>
      <c r="AJ168" t="s">
        <v>82</v>
      </c>
      <c r="AK168" t="s">
        <v>172</v>
      </c>
      <c r="AL168" s="3">
        <v>1890</v>
      </c>
      <c r="AM168" s="3">
        <v>1890</v>
      </c>
      <c r="AN168" s="3">
        <v>1890</v>
      </c>
      <c r="AO168" s="3">
        <v>1890</v>
      </c>
      <c r="AP168" s="3">
        <v>1890</v>
      </c>
      <c r="AQ168" s="3">
        <v>1890</v>
      </c>
      <c r="AR168" s="3">
        <v>1890</v>
      </c>
      <c r="AS168" s="3">
        <v>1890</v>
      </c>
      <c r="AT168" s="3">
        <v>1890</v>
      </c>
      <c r="AU168" s="3">
        <v>1890</v>
      </c>
      <c r="AV168" s="3">
        <v>1890</v>
      </c>
      <c r="AW168" s="3">
        <v>1890</v>
      </c>
      <c r="AX168" s="3">
        <v>22680</v>
      </c>
    </row>
    <row r="169" spans="22:50" x14ac:dyDescent="0.35">
      <c r="V169" s="2" t="s">
        <v>186</v>
      </c>
      <c r="W169" s="1" t="s">
        <v>6</v>
      </c>
      <c r="AF169" s="4" t="s">
        <v>174</v>
      </c>
      <c r="AG169" s="4" t="s">
        <v>88</v>
      </c>
      <c r="AH169" t="s">
        <v>185</v>
      </c>
      <c r="AI169" s="4" t="s">
        <v>83</v>
      </c>
      <c r="AJ169" t="s">
        <v>82</v>
      </c>
      <c r="AK169" t="s">
        <v>172</v>
      </c>
      <c r="AL169" s="3">
        <v>2646</v>
      </c>
      <c r="AM169" s="3">
        <v>2646</v>
      </c>
      <c r="AN169" s="3">
        <v>2646</v>
      </c>
      <c r="AO169" s="3">
        <v>2646</v>
      </c>
      <c r="AP169" s="3">
        <v>2646</v>
      </c>
      <c r="AQ169" s="3">
        <v>2646</v>
      </c>
      <c r="AR169" s="3">
        <v>2646</v>
      </c>
      <c r="AS169" s="3">
        <v>2646</v>
      </c>
      <c r="AT169" s="3">
        <v>2646</v>
      </c>
      <c r="AU169" s="3">
        <v>2646</v>
      </c>
      <c r="AV169" s="3">
        <v>2646</v>
      </c>
      <c r="AW169" s="3">
        <v>2646</v>
      </c>
      <c r="AX169" s="3">
        <v>31752</v>
      </c>
    </row>
    <row r="170" spans="22:50" x14ac:dyDescent="0.35">
      <c r="V170" s="2" t="s">
        <v>184</v>
      </c>
      <c r="W170" s="1" t="s">
        <v>6</v>
      </c>
      <c r="AF170" s="4" t="s">
        <v>174</v>
      </c>
      <c r="AG170" s="4" t="s">
        <v>88</v>
      </c>
      <c r="AH170" t="s">
        <v>178</v>
      </c>
      <c r="AI170" s="4" t="s">
        <v>83</v>
      </c>
      <c r="AJ170" t="s">
        <v>82</v>
      </c>
      <c r="AK170" t="s">
        <v>172</v>
      </c>
      <c r="AL170" s="3">
        <v>3649</v>
      </c>
      <c r="AM170" s="3">
        <v>3649</v>
      </c>
      <c r="AN170" s="3">
        <v>3649</v>
      </c>
      <c r="AO170" s="3">
        <v>3649</v>
      </c>
      <c r="AP170" s="3">
        <v>3649</v>
      </c>
      <c r="AQ170" s="3">
        <v>3649</v>
      </c>
      <c r="AR170" s="3">
        <v>3649</v>
      </c>
      <c r="AS170" s="3">
        <v>3649</v>
      </c>
      <c r="AT170" s="3">
        <v>3649</v>
      </c>
      <c r="AU170" s="3">
        <v>3649</v>
      </c>
      <c r="AV170" s="3">
        <v>3649</v>
      </c>
      <c r="AW170" s="3">
        <v>3649</v>
      </c>
      <c r="AX170" s="3">
        <v>43788</v>
      </c>
    </row>
    <row r="171" spans="22:50" x14ac:dyDescent="0.35">
      <c r="V171" s="2" t="s">
        <v>183</v>
      </c>
      <c r="W171" s="1" t="s">
        <v>6</v>
      </c>
      <c r="AF171" s="4" t="s">
        <v>174</v>
      </c>
      <c r="AG171" s="4" t="s">
        <v>88</v>
      </c>
      <c r="AH171" t="s">
        <v>176</v>
      </c>
      <c r="AI171" s="4" t="s">
        <v>83</v>
      </c>
      <c r="AJ171" t="s">
        <v>82</v>
      </c>
      <c r="AK171" t="s">
        <v>172</v>
      </c>
      <c r="AL171" s="3">
        <v>3713.93</v>
      </c>
      <c r="AM171" s="3">
        <v>3713.93</v>
      </c>
      <c r="AN171" s="3">
        <v>3713.93</v>
      </c>
      <c r="AO171" s="3">
        <v>3713.93</v>
      </c>
      <c r="AP171" s="3">
        <v>3713.93</v>
      </c>
      <c r="AQ171" s="3">
        <v>3713.93</v>
      </c>
      <c r="AR171" s="3">
        <v>3713.93</v>
      </c>
      <c r="AS171" s="3">
        <v>3713.93</v>
      </c>
      <c r="AT171" s="3">
        <v>3713.93</v>
      </c>
      <c r="AU171" s="3">
        <v>3713.93</v>
      </c>
      <c r="AV171" s="3">
        <v>3713.93</v>
      </c>
      <c r="AW171" s="3">
        <v>3713.93</v>
      </c>
      <c r="AX171" s="3">
        <v>44567.159999999996</v>
      </c>
    </row>
    <row r="172" spans="22:50" x14ac:dyDescent="0.35">
      <c r="V172" s="2" t="s">
        <v>182</v>
      </c>
      <c r="W172" s="1" t="s">
        <v>6</v>
      </c>
      <c r="AF172" s="4" t="s">
        <v>174</v>
      </c>
      <c r="AG172" s="4" t="s">
        <v>88</v>
      </c>
      <c r="AH172" t="s">
        <v>84</v>
      </c>
      <c r="AI172" s="4" t="s">
        <v>83</v>
      </c>
      <c r="AJ172" t="s">
        <v>82</v>
      </c>
      <c r="AK172" t="s">
        <v>172</v>
      </c>
      <c r="AL172" s="3">
        <v>4333</v>
      </c>
      <c r="AM172" s="3">
        <v>4333</v>
      </c>
      <c r="AN172" s="3">
        <v>4333</v>
      </c>
      <c r="AO172" s="3">
        <v>4333</v>
      </c>
      <c r="AP172" s="3">
        <v>4333</v>
      </c>
      <c r="AQ172" s="3">
        <v>4333</v>
      </c>
      <c r="AR172" s="3">
        <v>4333</v>
      </c>
      <c r="AS172" s="3">
        <v>4333</v>
      </c>
      <c r="AT172" s="3">
        <v>4333</v>
      </c>
      <c r="AU172" s="3">
        <v>4333</v>
      </c>
      <c r="AV172" s="3">
        <v>4333</v>
      </c>
      <c r="AW172" s="3">
        <v>4333</v>
      </c>
      <c r="AX172" s="3">
        <v>51996</v>
      </c>
    </row>
    <row r="173" spans="22:50" x14ac:dyDescent="0.35">
      <c r="V173" s="2" t="s">
        <v>181</v>
      </c>
      <c r="W173" s="1" t="s">
        <v>0</v>
      </c>
      <c r="AF173" s="4" t="s">
        <v>174</v>
      </c>
      <c r="AG173" s="4" t="s">
        <v>88</v>
      </c>
      <c r="AH173" t="s">
        <v>180</v>
      </c>
      <c r="AI173" s="4" t="s">
        <v>83</v>
      </c>
      <c r="AJ173" t="s">
        <v>82</v>
      </c>
      <c r="AK173" t="s">
        <v>172</v>
      </c>
      <c r="AL173" s="3">
        <v>1797</v>
      </c>
      <c r="AM173" s="3">
        <v>1797</v>
      </c>
      <c r="AN173" s="3">
        <v>1797</v>
      </c>
      <c r="AO173" s="3">
        <v>1797</v>
      </c>
      <c r="AP173" s="3">
        <v>1797</v>
      </c>
      <c r="AQ173" s="3">
        <v>1797</v>
      </c>
      <c r="AR173" s="3">
        <v>1797</v>
      </c>
      <c r="AS173" s="3">
        <v>1797</v>
      </c>
      <c r="AT173" s="3">
        <v>1797</v>
      </c>
      <c r="AU173" s="3">
        <v>1797</v>
      </c>
      <c r="AV173" s="3">
        <v>1797</v>
      </c>
      <c r="AW173" s="3">
        <v>1797</v>
      </c>
      <c r="AX173" s="3">
        <v>21564</v>
      </c>
    </row>
    <row r="174" spans="22:50" x14ac:dyDescent="0.35">
      <c r="V174" s="2" t="s">
        <v>179</v>
      </c>
      <c r="W174" s="1" t="s">
        <v>2</v>
      </c>
      <c r="AF174" s="4" t="s">
        <v>174</v>
      </c>
      <c r="AG174" s="4" t="s">
        <v>173</v>
      </c>
      <c r="AH174" t="s">
        <v>178</v>
      </c>
      <c r="AI174" s="4" t="s">
        <v>83</v>
      </c>
      <c r="AJ174" t="s">
        <v>91</v>
      </c>
      <c r="AK174" t="s">
        <v>172</v>
      </c>
      <c r="AL174" s="3"/>
      <c r="AM174" s="3"/>
      <c r="AN174" s="3"/>
      <c r="AO174" s="3"/>
      <c r="AP174" s="3"/>
      <c r="AQ174" s="3"/>
      <c r="AR174" s="3"/>
      <c r="AS174" s="3">
        <v>48100</v>
      </c>
      <c r="AT174" s="3"/>
      <c r="AU174" s="3"/>
      <c r="AV174" s="3"/>
      <c r="AW174" s="3"/>
      <c r="AX174" s="3">
        <v>48100</v>
      </c>
    </row>
    <row r="175" spans="22:50" x14ac:dyDescent="0.35">
      <c r="V175" s="2" t="s">
        <v>177</v>
      </c>
      <c r="W175" s="1" t="s">
        <v>6</v>
      </c>
      <c r="AF175" s="4" t="s">
        <v>174</v>
      </c>
      <c r="AG175" s="4" t="s">
        <v>173</v>
      </c>
      <c r="AH175" t="s">
        <v>176</v>
      </c>
      <c r="AI175" s="4" t="s">
        <v>83</v>
      </c>
      <c r="AJ175" t="s">
        <v>91</v>
      </c>
      <c r="AK175" t="s">
        <v>172</v>
      </c>
      <c r="AL175" s="3"/>
      <c r="AM175" s="3"/>
      <c r="AN175" s="3"/>
      <c r="AO175" s="3"/>
      <c r="AP175" s="3"/>
      <c r="AQ175" s="3"/>
      <c r="AR175" s="3">
        <v>48100</v>
      </c>
      <c r="AS175" s="3"/>
      <c r="AT175" s="3"/>
      <c r="AU175" s="3"/>
      <c r="AV175" s="3"/>
      <c r="AW175" s="3"/>
      <c r="AX175" s="3">
        <v>48100</v>
      </c>
    </row>
    <row r="176" spans="22:50" x14ac:dyDescent="0.35">
      <c r="V176" s="2" t="s">
        <v>175</v>
      </c>
      <c r="W176" s="1" t="s">
        <v>2</v>
      </c>
      <c r="AF176" s="5" t="s">
        <v>174</v>
      </c>
      <c r="AG176" s="4" t="s">
        <v>173</v>
      </c>
      <c r="AH176" t="s">
        <v>84</v>
      </c>
      <c r="AI176" s="4" t="s">
        <v>83</v>
      </c>
      <c r="AJ176" t="s">
        <v>91</v>
      </c>
      <c r="AK176" t="s">
        <v>172</v>
      </c>
      <c r="AL176" s="3"/>
      <c r="AM176" s="3"/>
      <c r="AN176" s="3"/>
      <c r="AO176" s="3"/>
      <c r="AP176" s="3"/>
      <c r="AQ176" s="3">
        <v>72150</v>
      </c>
      <c r="AR176" s="3"/>
      <c r="AS176" s="3"/>
      <c r="AT176" s="3"/>
      <c r="AU176" s="3"/>
      <c r="AV176" s="3"/>
      <c r="AW176" s="3"/>
      <c r="AX176" s="3">
        <v>72150</v>
      </c>
    </row>
    <row r="177" spans="22:50" x14ac:dyDescent="0.35">
      <c r="V177" s="2" t="s">
        <v>171</v>
      </c>
      <c r="W177" s="1" t="s">
        <v>0</v>
      </c>
      <c r="AF177" s="4" t="s">
        <v>163</v>
      </c>
      <c r="AG177" s="4" t="s">
        <v>93</v>
      </c>
      <c r="AH177" t="s">
        <v>167</v>
      </c>
      <c r="AI177" s="4" t="s">
        <v>83</v>
      </c>
      <c r="AJ177" t="s">
        <v>82</v>
      </c>
      <c r="AK177" t="s">
        <v>95</v>
      </c>
      <c r="AL177" s="3">
        <v>1500</v>
      </c>
      <c r="AM177" s="3">
        <v>1500</v>
      </c>
      <c r="AN177" s="3">
        <v>1500</v>
      </c>
      <c r="AO177" s="3">
        <v>1500</v>
      </c>
      <c r="AP177" s="3">
        <v>1500</v>
      </c>
      <c r="AQ177" s="3">
        <v>1500</v>
      </c>
      <c r="AR177" s="3">
        <v>1500</v>
      </c>
      <c r="AS177" s="3">
        <v>1500</v>
      </c>
      <c r="AT177" s="3">
        <v>1500</v>
      </c>
      <c r="AU177" s="3">
        <v>1500</v>
      </c>
      <c r="AV177" s="3">
        <v>1500</v>
      </c>
      <c r="AW177" s="3">
        <v>1500</v>
      </c>
      <c r="AX177" s="3">
        <v>18000</v>
      </c>
    </row>
    <row r="178" spans="22:50" x14ac:dyDescent="0.35">
      <c r="V178" s="2" t="s">
        <v>170</v>
      </c>
      <c r="W178" s="1" t="s">
        <v>6</v>
      </c>
      <c r="AF178" s="4" t="s">
        <v>163</v>
      </c>
      <c r="AG178" s="4" t="s">
        <v>93</v>
      </c>
      <c r="AH178" t="s">
        <v>165</v>
      </c>
      <c r="AI178" s="4" t="s">
        <v>83</v>
      </c>
      <c r="AJ178" t="s">
        <v>82</v>
      </c>
      <c r="AK178" t="s">
        <v>95</v>
      </c>
      <c r="AL178" s="3">
        <v>1500</v>
      </c>
      <c r="AM178" s="3">
        <v>1500</v>
      </c>
      <c r="AN178" s="3">
        <v>1500</v>
      </c>
      <c r="AO178" s="3">
        <v>1500</v>
      </c>
      <c r="AP178" s="3">
        <v>1500</v>
      </c>
      <c r="AQ178" s="3">
        <v>1500</v>
      </c>
      <c r="AR178" s="3">
        <v>1500</v>
      </c>
      <c r="AS178" s="3">
        <v>1500</v>
      </c>
      <c r="AT178" s="3">
        <v>1500</v>
      </c>
      <c r="AU178" s="3">
        <v>1500</v>
      </c>
      <c r="AV178" s="3">
        <v>1500</v>
      </c>
      <c r="AW178" s="3">
        <v>1500</v>
      </c>
      <c r="AX178" s="3">
        <v>18000</v>
      </c>
    </row>
    <row r="179" spans="22:50" x14ac:dyDescent="0.35">
      <c r="V179" s="2" t="s">
        <v>169</v>
      </c>
      <c r="W179" s="1" t="s">
        <v>2</v>
      </c>
      <c r="AF179" s="4" t="s">
        <v>163</v>
      </c>
      <c r="AG179" s="4" t="s">
        <v>93</v>
      </c>
      <c r="AH179" t="s">
        <v>162</v>
      </c>
      <c r="AI179" s="4" t="s">
        <v>83</v>
      </c>
      <c r="AJ179" t="s">
        <v>82</v>
      </c>
      <c r="AK179" t="s">
        <v>95</v>
      </c>
      <c r="AL179" s="3"/>
      <c r="AM179" s="3"/>
      <c r="AN179" s="3"/>
      <c r="AO179" s="3"/>
      <c r="AP179" s="3"/>
      <c r="AQ179" s="3">
        <v>5850</v>
      </c>
      <c r="AR179" s="3"/>
      <c r="AS179" s="3"/>
      <c r="AT179" s="3"/>
      <c r="AU179" s="3"/>
      <c r="AV179" s="3"/>
      <c r="AW179" s="3">
        <v>5850</v>
      </c>
      <c r="AX179" s="3">
        <v>11700</v>
      </c>
    </row>
    <row r="180" spans="22:50" x14ac:dyDescent="0.35">
      <c r="V180" s="2" t="s">
        <v>168</v>
      </c>
      <c r="W180" s="1" t="s">
        <v>2</v>
      </c>
      <c r="AF180" s="4" t="s">
        <v>163</v>
      </c>
      <c r="AG180" s="4" t="s">
        <v>88</v>
      </c>
      <c r="AH180" t="s">
        <v>167</v>
      </c>
      <c r="AI180" s="4" t="s">
        <v>83</v>
      </c>
      <c r="AJ180" t="s">
        <v>82</v>
      </c>
      <c r="AK180" t="s">
        <v>95</v>
      </c>
      <c r="AL180" s="3">
        <v>3200</v>
      </c>
      <c r="AM180" s="3">
        <v>3200</v>
      </c>
      <c r="AN180" s="3">
        <v>3200</v>
      </c>
      <c r="AO180" s="3">
        <v>3200</v>
      </c>
      <c r="AP180" s="3">
        <v>3200</v>
      </c>
      <c r="AQ180" s="3">
        <v>3200</v>
      </c>
      <c r="AR180" s="3">
        <v>3200</v>
      </c>
      <c r="AS180" s="3">
        <v>3200</v>
      </c>
      <c r="AT180" s="3">
        <v>3200</v>
      </c>
      <c r="AU180" s="3">
        <v>3200</v>
      </c>
      <c r="AV180" s="3">
        <v>3200</v>
      </c>
      <c r="AW180" s="3">
        <v>3200</v>
      </c>
      <c r="AX180" s="3">
        <v>38400</v>
      </c>
    </row>
    <row r="181" spans="22:50" x14ac:dyDescent="0.35">
      <c r="V181" s="2" t="s">
        <v>166</v>
      </c>
      <c r="W181" s="1" t="s">
        <v>6</v>
      </c>
      <c r="AF181" s="4" t="s">
        <v>163</v>
      </c>
      <c r="AG181" s="4" t="s">
        <v>88</v>
      </c>
      <c r="AH181" t="s">
        <v>165</v>
      </c>
      <c r="AI181" s="4" t="s">
        <v>83</v>
      </c>
      <c r="AJ181" t="s">
        <v>82</v>
      </c>
      <c r="AK181" t="s">
        <v>95</v>
      </c>
      <c r="AL181" s="3">
        <v>3200</v>
      </c>
      <c r="AM181" s="3">
        <v>3200</v>
      </c>
      <c r="AN181" s="3">
        <v>3200</v>
      </c>
      <c r="AO181" s="3">
        <v>3200</v>
      </c>
      <c r="AP181" s="3">
        <v>3200</v>
      </c>
      <c r="AQ181" s="3">
        <v>3200</v>
      </c>
      <c r="AR181" s="3">
        <v>3200</v>
      </c>
      <c r="AS181" s="3">
        <v>3200</v>
      </c>
      <c r="AT181" s="3">
        <v>3200</v>
      </c>
      <c r="AU181" s="3">
        <v>3200</v>
      </c>
      <c r="AV181" s="3">
        <v>3200</v>
      </c>
      <c r="AW181" s="3">
        <v>3200</v>
      </c>
      <c r="AX181" s="3">
        <v>38400</v>
      </c>
    </row>
    <row r="182" spans="22:50" x14ac:dyDescent="0.35">
      <c r="V182" s="2" t="s">
        <v>164</v>
      </c>
      <c r="W182" s="1" t="s">
        <v>6</v>
      </c>
      <c r="AF182" s="5" t="s">
        <v>163</v>
      </c>
      <c r="AG182" s="4" t="s">
        <v>88</v>
      </c>
      <c r="AH182" t="s">
        <v>162</v>
      </c>
      <c r="AI182" s="4" t="s">
        <v>83</v>
      </c>
      <c r="AJ182" t="s">
        <v>82</v>
      </c>
      <c r="AK182" t="s">
        <v>95</v>
      </c>
      <c r="AL182" s="3"/>
      <c r="AM182" s="3"/>
      <c r="AN182" s="3"/>
      <c r="AO182" s="3"/>
      <c r="AP182" s="3"/>
      <c r="AQ182" s="3">
        <v>10042.5</v>
      </c>
      <c r="AR182" s="3"/>
      <c r="AS182" s="3"/>
      <c r="AT182" s="3"/>
      <c r="AU182" s="3"/>
      <c r="AV182" s="3"/>
      <c r="AW182" s="3">
        <v>10042.5</v>
      </c>
      <c r="AX182" s="3">
        <v>20085</v>
      </c>
    </row>
    <row r="183" spans="22:50" x14ac:dyDescent="0.35">
      <c r="V183" s="2" t="s">
        <v>161</v>
      </c>
      <c r="W183" s="1" t="s">
        <v>0</v>
      </c>
      <c r="AF183" s="4" t="s">
        <v>147</v>
      </c>
      <c r="AG183" s="4" t="s">
        <v>93</v>
      </c>
      <c r="AH183" t="s">
        <v>151</v>
      </c>
      <c r="AI183" s="4" t="s">
        <v>83</v>
      </c>
      <c r="AJ183" t="s">
        <v>82</v>
      </c>
      <c r="AK183" t="s">
        <v>81</v>
      </c>
      <c r="AL183" s="3">
        <v>308.26666666666671</v>
      </c>
      <c r="AM183" s="3">
        <v>308.26666666666671</v>
      </c>
      <c r="AN183" s="3">
        <v>308.26666666666671</v>
      </c>
      <c r="AO183" s="3">
        <v>308.26666666666671</v>
      </c>
      <c r="AP183" s="3">
        <v>308.26666666666671</v>
      </c>
      <c r="AQ183" s="3">
        <v>308.26666666666671</v>
      </c>
      <c r="AR183" s="3">
        <v>308.26666666666671</v>
      </c>
      <c r="AS183" s="3">
        <v>308.26666666666671</v>
      </c>
      <c r="AT183" s="3">
        <v>308.26666666666671</v>
      </c>
      <c r="AU183" s="3">
        <v>308.26666666666671</v>
      </c>
      <c r="AV183" s="3">
        <v>308.26666666666671</v>
      </c>
      <c r="AW183" s="3">
        <v>308.26666666666671</v>
      </c>
      <c r="AX183" s="3">
        <v>3699.2000000000012</v>
      </c>
    </row>
    <row r="184" spans="22:50" x14ac:dyDescent="0.35">
      <c r="V184" s="2" t="s">
        <v>160</v>
      </c>
      <c r="W184" s="1" t="s">
        <v>6</v>
      </c>
      <c r="AF184" s="4" t="s">
        <v>147</v>
      </c>
      <c r="AG184" s="4" t="s">
        <v>93</v>
      </c>
      <c r="AH184" t="s">
        <v>155</v>
      </c>
      <c r="AI184" s="4" t="s">
        <v>83</v>
      </c>
      <c r="AJ184" t="s">
        <v>91</v>
      </c>
      <c r="AK184" t="s">
        <v>81</v>
      </c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>
        <v>308.20000000000005</v>
      </c>
      <c r="AX184" s="3">
        <v>308.20000000000005</v>
      </c>
    </row>
    <row r="185" spans="22:50" x14ac:dyDescent="0.35">
      <c r="V185" s="2" t="s">
        <v>159</v>
      </c>
      <c r="W185" s="1" t="s">
        <v>6</v>
      </c>
      <c r="AF185" s="4" t="s">
        <v>147</v>
      </c>
      <c r="AG185" s="4" t="s">
        <v>93</v>
      </c>
      <c r="AH185" t="s">
        <v>149</v>
      </c>
      <c r="AI185" s="4" t="s">
        <v>83</v>
      </c>
      <c r="AJ185" t="s">
        <v>82</v>
      </c>
      <c r="AK185" t="s">
        <v>81</v>
      </c>
      <c r="AL185" s="3">
        <v>343.93333333333334</v>
      </c>
      <c r="AM185" s="3">
        <v>343.93333333333334</v>
      </c>
      <c r="AN185" s="3">
        <v>343.93333333333334</v>
      </c>
      <c r="AO185" s="3">
        <v>343.93333333333334</v>
      </c>
      <c r="AP185" s="3">
        <v>343.93333333333334</v>
      </c>
      <c r="AQ185" s="3">
        <v>343.93333333333334</v>
      </c>
      <c r="AR185" s="3">
        <v>343.93333333333334</v>
      </c>
      <c r="AS185" s="3">
        <v>343.93333333333334</v>
      </c>
      <c r="AT185" s="3">
        <v>343.93333333333334</v>
      </c>
      <c r="AU185" s="3">
        <v>343.93333333333334</v>
      </c>
      <c r="AV185" s="3">
        <v>343.93333333333334</v>
      </c>
      <c r="AW185" s="3">
        <v>343.93333333333334</v>
      </c>
      <c r="AX185" s="3">
        <v>4127.2</v>
      </c>
    </row>
    <row r="186" spans="22:50" x14ac:dyDescent="0.35">
      <c r="V186" s="2" t="s">
        <v>158</v>
      </c>
      <c r="W186" s="1" t="s">
        <v>0</v>
      </c>
      <c r="AF186" s="4" t="s">
        <v>147</v>
      </c>
      <c r="AG186" s="4" t="s">
        <v>93</v>
      </c>
      <c r="AH186" t="s">
        <v>9</v>
      </c>
      <c r="AI186" s="4" t="s">
        <v>83</v>
      </c>
      <c r="AJ186" t="s">
        <v>82</v>
      </c>
      <c r="AK186" t="s">
        <v>81</v>
      </c>
      <c r="AL186" s="3">
        <v>343.93333333333334</v>
      </c>
      <c r="AM186" s="3">
        <v>343.93333333333334</v>
      </c>
      <c r="AN186" s="3">
        <v>343.93333333333334</v>
      </c>
      <c r="AO186" s="3">
        <v>343.93333333333334</v>
      </c>
      <c r="AP186" s="3">
        <v>343.93333333333334</v>
      </c>
      <c r="AQ186" s="3">
        <v>343.93333333333334</v>
      </c>
      <c r="AR186" s="3">
        <v>343.93333333333334</v>
      </c>
      <c r="AS186" s="3">
        <v>343.93333333333334</v>
      </c>
      <c r="AT186" s="3">
        <v>343.93333333333334</v>
      </c>
      <c r="AU186" s="3">
        <v>343.93333333333334</v>
      </c>
      <c r="AV186" s="3">
        <v>343.93333333333334</v>
      </c>
      <c r="AW186" s="3">
        <v>343.93333333333334</v>
      </c>
      <c r="AX186" s="3">
        <v>4127.2</v>
      </c>
    </row>
    <row r="187" spans="22:50" x14ac:dyDescent="0.35">
      <c r="V187" s="2" t="s">
        <v>157</v>
      </c>
      <c r="W187" s="1" t="s">
        <v>6</v>
      </c>
      <c r="AF187" s="4" t="s">
        <v>147</v>
      </c>
      <c r="AG187" s="4" t="s">
        <v>88</v>
      </c>
      <c r="AH187" t="s">
        <v>151</v>
      </c>
      <c r="AI187" s="4" t="s">
        <v>83</v>
      </c>
      <c r="AJ187" t="s">
        <v>82</v>
      </c>
      <c r="AK187" t="s">
        <v>81</v>
      </c>
      <c r="AL187" s="3">
        <v>1078.9333333333332</v>
      </c>
      <c r="AM187" s="3">
        <v>1078.9333333333332</v>
      </c>
      <c r="AN187" s="3">
        <v>1078.9333333333332</v>
      </c>
      <c r="AO187" s="3">
        <v>1078.9333333333332</v>
      </c>
      <c r="AP187" s="3">
        <v>1078.9333333333332</v>
      </c>
      <c r="AQ187" s="3">
        <v>1078.9333333333332</v>
      </c>
      <c r="AR187" s="3">
        <v>1078.9333333333332</v>
      </c>
      <c r="AS187" s="3">
        <v>1078.9333333333332</v>
      </c>
      <c r="AT187" s="3">
        <v>1078.9333333333332</v>
      </c>
      <c r="AU187" s="3">
        <v>1078.9333333333332</v>
      </c>
      <c r="AV187" s="3">
        <v>1078.9333333333332</v>
      </c>
      <c r="AW187" s="3">
        <v>1078.9333333333332</v>
      </c>
      <c r="AX187" s="3">
        <v>12947.199999999995</v>
      </c>
    </row>
    <row r="188" spans="22:50" x14ac:dyDescent="0.35">
      <c r="V188" s="2" t="s">
        <v>156</v>
      </c>
      <c r="W188" s="1" t="s">
        <v>6</v>
      </c>
      <c r="AF188" s="4" t="s">
        <v>147</v>
      </c>
      <c r="AG188" s="4" t="s">
        <v>88</v>
      </c>
      <c r="AH188" t="s">
        <v>155</v>
      </c>
      <c r="AI188" s="4" t="s">
        <v>83</v>
      </c>
      <c r="AJ188" t="s">
        <v>91</v>
      </c>
      <c r="AK188" t="s">
        <v>81</v>
      </c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>
        <v>1078.6999999999998</v>
      </c>
      <c r="AX188" s="3">
        <v>1078.6999999999998</v>
      </c>
    </row>
    <row r="189" spans="22:50" x14ac:dyDescent="0.35">
      <c r="V189" s="2" t="s">
        <v>154</v>
      </c>
      <c r="W189" s="1" t="s">
        <v>2</v>
      </c>
      <c r="AF189" s="4" t="s">
        <v>147</v>
      </c>
      <c r="AG189" s="4" t="s">
        <v>88</v>
      </c>
      <c r="AH189" t="s">
        <v>149</v>
      </c>
      <c r="AI189" s="4" t="s">
        <v>83</v>
      </c>
      <c r="AJ189" t="s">
        <v>82</v>
      </c>
      <c r="AK189" t="s">
        <v>81</v>
      </c>
      <c r="AL189" s="3">
        <v>1203.7666666666667</v>
      </c>
      <c r="AM189" s="3">
        <v>1203.7666666666667</v>
      </c>
      <c r="AN189" s="3">
        <v>1203.7666666666667</v>
      </c>
      <c r="AO189" s="3">
        <v>1203.7666666666667</v>
      </c>
      <c r="AP189" s="3">
        <v>1203.7666666666667</v>
      </c>
      <c r="AQ189" s="3">
        <v>1203.7666666666667</v>
      </c>
      <c r="AR189" s="3">
        <v>1203.7666666666667</v>
      </c>
      <c r="AS189" s="3">
        <v>1203.7666666666667</v>
      </c>
      <c r="AT189" s="3">
        <v>1203.7666666666667</v>
      </c>
      <c r="AU189" s="3">
        <v>1203.7666666666667</v>
      </c>
      <c r="AV189" s="3">
        <v>1203.7666666666667</v>
      </c>
      <c r="AW189" s="3">
        <v>1203.7666666666667</v>
      </c>
      <c r="AX189" s="3">
        <v>14445.199999999999</v>
      </c>
    </row>
    <row r="190" spans="22:50" x14ac:dyDescent="0.35">
      <c r="V190" s="2" t="s">
        <v>153</v>
      </c>
      <c r="W190" s="1" t="s">
        <v>0</v>
      </c>
      <c r="AF190" s="4" t="s">
        <v>147</v>
      </c>
      <c r="AG190" s="4" t="s">
        <v>88</v>
      </c>
      <c r="AH190" t="s">
        <v>9</v>
      </c>
      <c r="AI190" s="4" t="s">
        <v>83</v>
      </c>
      <c r="AJ190" t="s">
        <v>82</v>
      </c>
      <c r="AK190" t="s">
        <v>81</v>
      </c>
      <c r="AL190" s="3">
        <v>1203.7666666666667</v>
      </c>
      <c r="AM190" s="3">
        <v>1203.7666666666667</v>
      </c>
      <c r="AN190" s="3">
        <v>1203.7666666666667</v>
      </c>
      <c r="AO190" s="3">
        <v>1203.7666666666667</v>
      </c>
      <c r="AP190" s="3">
        <v>1203.7666666666667</v>
      </c>
      <c r="AQ190" s="3">
        <v>1203.7666666666667</v>
      </c>
      <c r="AR190" s="3">
        <v>1203.7666666666667</v>
      </c>
      <c r="AS190" s="3">
        <v>1203.7666666666667</v>
      </c>
      <c r="AT190" s="3">
        <v>1203.7666666666667</v>
      </c>
      <c r="AU190" s="3">
        <v>1203.7666666666667</v>
      </c>
      <c r="AV190" s="3">
        <v>1203.7666666666667</v>
      </c>
      <c r="AW190" s="3">
        <v>1203.7666666666667</v>
      </c>
      <c r="AX190" s="3">
        <v>14445.199999999999</v>
      </c>
    </row>
    <row r="191" spans="22:50" x14ac:dyDescent="0.35">
      <c r="V191" s="2" t="s">
        <v>152</v>
      </c>
      <c r="W191" s="1" t="s">
        <v>2</v>
      </c>
      <c r="AF191" s="4" t="s">
        <v>147</v>
      </c>
      <c r="AG191" s="4" t="s">
        <v>146</v>
      </c>
      <c r="AH191" t="s">
        <v>151</v>
      </c>
      <c r="AI191" s="4" t="s">
        <v>83</v>
      </c>
      <c r="AJ191" t="s">
        <v>145</v>
      </c>
      <c r="AK191" t="s">
        <v>81</v>
      </c>
      <c r="AL191" s="3">
        <v>334.91666666666669</v>
      </c>
      <c r="AM191" s="3">
        <v>334.91666666666669</v>
      </c>
      <c r="AN191" s="3">
        <v>334.91666666666669</v>
      </c>
      <c r="AO191" s="3">
        <v>334.91666666666669</v>
      </c>
      <c r="AP191" s="3">
        <v>334.91666666666669</v>
      </c>
      <c r="AQ191" s="3">
        <v>334.91666666666669</v>
      </c>
      <c r="AR191" s="3">
        <v>334.91666666666669</v>
      </c>
      <c r="AS191" s="3">
        <v>334.91666666666669</v>
      </c>
      <c r="AT191" s="3">
        <v>334.91666666666669</v>
      </c>
      <c r="AU191" s="3">
        <v>334.91666666666669</v>
      </c>
      <c r="AV191" s="3">
        <v>334.91666666666669</v>
      </c>
      <c r="AW191" s="3">
        <v>334.91666666666669</v>
      </c>
      <c r="AX191" s="3">
        <v>4018.9999999999995</v>
      </c>
    </row>
    <row r="192" spans="22:50" x14ac:dyDescent="0.35">
      <c r="V192" s="2" t="s">
        <v>150</v>
      </c>
      <c r="W192" s="1" t="s">
        <v>0</v>
      </c>
      <c r="AF192" s="4" t="s">
        <v>147</v>
      </c>
      <c r="AG192" s="4" t="s">
        <v>146</v>
      </c>
      <c r="AH192" t="s">
        <v>149</v>
      </c>
      <c r="AI192" s="4" t="s">
        <v>83</v>
      </c>
      <c r="AJ192" t="s">
        <v>145</v>
      </c>
      <c r="AK192" t="s">
        <v>81</v>
      </c>
      <c r="AL192" s="3">
        <v>373.66666666666669</v>
      </c>
      <c r="AM192" s="3">
        <v>373.66666666666669</v>
      </c>
      <c r="AN192" s="3">
        <v>373.66666666666669</v>
      </c>
      <c r="AO192" s="3">
        <v>373.66666666666669</v>
      </c>
      <c r="AP192" s="3">
        <v>373.66666666666669</v>
      </c>
      <c r="AQ192" s="3">
        <v>373.66666666666669</v>
      </c>
      <c r="AR192" s="3">
        <v>373.66666666666669</v>
      </c>
      <c r="AS192" s="3">
        <v>373.66666666666669</v>
      </c>
      <c r="AT192" s="3">
        <v>373.66666666666669</v>
      </c>
      <c r="AU192" s="3">
        <v>373.66666666666669</v>
      </c>
      <c r="AV192" s="3">
        <v>373.66666666666669</v>
      </c>
      <c r="AW192" s="3">
        <v>373.66666666666669</v>
      </c>
      <c r="AX192" s="3">
        <v>4484</v>
      </c>
    </row>
    <row r="193" spans="22:50" x14ac:dyDescent="0.35">
      <c r="V193" s="2" t="s">
        <v>148</v>
      </c>
      <c r="W193" s="1" t="s">
        <v>6</v>
      </c>
      <c r="AF193" s="5" t="s">
        <v>147</v>
      </c>
      <c r="AG193" s="4" t="s">
        <v>146</v>
      </c>
      <c r="AH193" t="s">
        <v>9</v>
      </c>
      <c r="AI193" s="4" t="s">
        <v>83</v>
      </c>
      <c r="AJ193" t="s">
        <v>145</v>
      </c>
      <c r="AK193" t="s">
        <v>81</v>
      </c>
      <c r="AL193" s="3">
        <v>373.66666666666669</v>
      </c>
      <c r="AM193" s="3">
        <v>373.66666666666669</v>
      </c>
      <c r="AN193" s="3">
        <v>373.66666666666669</v>
      </c>
      <c r="AO193" s="3">
        <v>373.66666666666669</v>
      </c>
      <c r="AP193" s="3">
        <v>373.66666666666669</v>
      </c>
      <c r="AQ193" s="3">
        <v>373.66666666666669</v>
      </c>
      <c r="AR193" s="3">
        <v>373.66666666666669</v>
      </c>
      <c r="AS193" s="3">
        <v>373.66666666666669</v>
      </c>
      <c r="AT193" s="3">
        <v>373.66666666666669</v>
      </c>
      <c r="AU193" s="3">
        <v>373.66666666666669</v>
      </c>
      <c r="AV193" s="3">
        <v>373.66666666666669</v>
      </c>
      <c r="AW193" s="3">
        <v>373.66666666666669</v>
      </c>
      <c r="AX193" s="3">
        <v>4484</v>
      </c>
    </row>
    <row r="194" spans="22:50" x14ac:dyDescent="0.35">
      <c r="V194" s="2" t="s">
        <v>144</v>
      </c>
      <c r="W194" s="1" t="s">
        <v>6</v>
      </c>
      <c r="AF194" s="4" t="s">
        <v>124</v>
      </c>
      <c r="AG194" s="4" t="s">
        <v>93</v>
      </c>
      <c r="AH194" t="s">
        <v>134</v>
      </c>
      <c r="AI194" s="4" t="s">
        <v>83</v>
      </c>
      <c r="AJ194" t="s">
        <v>82</v>
      </c>
      <c r="AK194" t="s">
        <v>81</v>
      </c>
      <c r="AL194" s="3"/>
      <c r="AM194" s="3"/>
      <c r="AN194" s="3"/>
      <c r="AO194" s="3">
        <v>302.65572149999997</v>
      </c>
      <c r="AP194" s="3">
        <v>302.65572149999997</v>
      </c>
      <c r="AQ194" s="3">
        <v>302.65572149999997</v>
      </c>
      <c r="AR194" s="3">
        <v>302.65572149999997</v>
      </c>
      <c r="AS194" s="3">
        <v>302.65572149999997</v>
      </c>
      <c r="AT194" s="3">
        <v>302.65572149999997</v>
      </c>
      <c r="AU194" s="3">
        <v>302.65572149999997</v>
      </c>
      <c r="AV194" s="3">
        <v>302.65572149999997</v>
      </c>
      <c r="AW194" s="3">
        <v>302.65572149999997</v>
      </c>
      <c r="AX194" s="3">
        <v>2723.9014934999996</v>
      </c>
    </row>
    <row r="195" spans="22:50" x14ac:dyDescent="0.35">
      <c r="V195" s="2" t="s">
        <v>143</v>
      </c>
      <c r="W195" s="1" t="s">
        <v>6</v>
      </c>
      <c r="AF195" s="4" t="s">
        <v>124</v>
      </c>
      <c r="AG195" s="4" t="s">
        <v>93</v>
      </c>
      <c r="AH195" t="s">
        <v>134</v>
      </c>
      <c r="AI195" s="4" t="s">
        <v>83</v>
      </c>
      <c r="AJ195" t="s">
        <v>101</v>
      </c>
      <c r="AK195" t="s">
        <v>81</v>
      </c>
      <c r="AL195" s="3">
        <v>289.6275</v>
      </c>
      <c r="AM195" s="3">
        <v>289.6275</v>
      </c>
      <c r="AN195" s="3">
        <v>289.6275</v>
      </c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868.88249999999994</v>
      </c>
    </row>
    <row r="196" spans="22:50" x14ac:dyDescent="0.35">
      <c r="V196" s="2" t="s">
        <v>142</v>
      </c>
      <c r="W196" s="1" t="s">
        <v>6</v>
      </c>
      <c r="AF196" s="4" t="s">
        <v>124</v>
      </c>
      <c r="AG196" s="4" t="s">
        <v>93</v>
      </c>
      <c r="AH196" t="s">
        <v>131</v>
      </c>
      <c r="AI196" s="4" t="s">
        <v>92</v>
      </c>
      <c r="AJ196" t="s">
        <v>82</v>
      </c>
      <c r="AK196" t="s">
        <v>81</v>
      </c>
      <c r="AL196" s="3"/>
      <c r="AM196" s="3"/>
      <c r="AN196" s="3"/>
      <c r="AO196" s="3">
        <v>122.34939517968746</v>
      </c>
      <c r="AP196" s="3">
        <v>122.34939517968746</v>
      </c>
      <c r="AQ196" s="3">
        <v>122.34939517968746</v>
      </c>
      <c r="AR196" s="3">
        <v>122.34939517968746</v>
      </c>
      <c r="AS196" s="3">
        <v>122.34939517968746</v>
      </c>
      <c r="AT196" s="3">
        <v>122.34939517968746</v>
      </c>
      <c r="AU196" s="3">
        <v>122.34939517968746</v>
      </c>
      <c r="AV196" s="3">
        <v>122.34939517968746</v>
      </c>
      <c r="AW196" s="3">
        <v>122.34939517968746</v>
      </c>
      <c r="AX196" s="3">
        <v>1101.1445566171872</v>
      </c>
    </row>
    <row r="197" spans="22:50" x14ac:dyDescent="0.35">
      <c r="V197" s="2" t="s">
        <v>141</v>
      </c>
      <c r="W197" s="1" t="s">
        <v>2</v>
      </c>
      <c r="AF197" s="4" t="s">
        <v>124</v>
      </c>
      <c r="AG197" s="4" t="s">
        <v>93</v>
      </c>
      <c r="AH197" t="s">
        <v>131</v>
      </c>
      <c r="AI197" s="4" t="s">
        <v>83</v>
      </c>
      <c r="AJ197" t="s">
        <v>82</v>
      </c>
      <c r="AK197" t="s">
        <v>81</v>
      </c>
      <c r="AL197" s="3"/>
      <c r="AM197" s="3"/>
      <c r="AN197" s="3"/>
      <c r="AO197" s="3">
        <v>206.06213924999997</v>
      </c>
      <c r="AP197" s="3">
        <v>206.06213924999997</v>
      </c>
      <c r="AQ197" s="3">
        <v>206.06213924999997</v>
      </c>
      <c r="AR197" s="3">
        <v>206.06213924999997</v>
      </c>
      <c r="AS197" s="3">
        <v>206.06213924999997</v>
      </c>
      <c r="AT197" s="3">
        <v>206.06213924999997</v>
      </c>
      <c r="AU197" s="3">
        <v>206.06213924999997</v>
      </c>
      <c r="AV197" s="3">
        <v>206.06213924999997</v>
      </c>
      <c r="AW197" s="3">
        <v>206.06213924999997</v>
      </c>
      <c r="AX197" s="3">
        <v>1854.5592532499998</v>
      </c>
    </row>
    <row r="198" spans="22:50" x14ac:dyDescent="0.35">
      <c r="V198" s="2" t="s">
        <v>140</v>
      </c>
      <c r="W198" s="1" t="s">
        <v>2</v>
      </c>
      <c r="AF198" s="4" t="s">
        <v>124</v>
      </c>
      <c r="AG198" s="4" t="s">
        <v>93</v>
      </c>
      <c r="AH198" t="s">
        <v>128</v>
      </c>
      <c r="AI198" s="4" t="s">
        <v>92</v>
      </c>
      <c r="AJ198" t="s">
        <v>82</v>
      </c>
      <c r="AK198" t="s">
        <v>81</v>
      </c>
      <c r="AL198" s="3"/>
      <c r="AM198" s="3"/>
      <c r="AN198" s="3"/>
      <c r="AO198" s="3">
        <v>179.70183464062498</v>
      </c>
      <c r="AP198" s="3">
        <v>179.70183464062498</v>
      </c>
      <c r="AQ198" s="3">
        <v>179.70183464062498</v>
      </c>
      <c r="AR198" s="3">
        <v>179.70183464062498</v>
      </c>
      <c r="AS198" s="3">
        <v>179.70183464062498</v>
      </c>
      <c r="AT198" s="3">
        <v>179.70183464062498</v>
      </c>
      <c r="AU198" s="3">
        <v>179.70183464062498</v>
      </c>
      <c r="AV198" s="3">
        <v>179.70183464062498</v>
      </c>
      <c r="AW198" s="3">
        <v>179.70183464062498</v>
      </c>
      <c r="AX198" s="3">
        <v>1617.3165117656251</v>
      </c>
    </row>
    <row r="199" spans="22:50" x14ac:dyDescent="0.35">
      <c r="V199" s="2" t="s">
        <v>139</v>
      </c>
      <c r="W199" s="1" t="s">
        <v>0</v>
      </c>
      <c r="AF199" s="4" t="s">
        <v>124</v>
      </c>
      <c r="AG199" s="4" t="s">
        <v>93</v>
      </c>
      <c r="AH199" t="s">
        <v>128</v>
      </c>
      <c r="AI199" s="4" t="s">
        <v>83</v>
      </c>
      <c r="AJ199" t="s">
        <v>82</v>
      </c>
      <c r="AK199" t="s">
        <v>81</v>
      </c>
      <c r="AL199" s="3"/>
      <c r="AM199" s="3"/>
      <c r="AN199" s="3"/>
      <c r="AO199" s="3">
        <v>302.65572149999997</v>
      </c>
      <c r="AP199" s="3">
        <v>302.65572149999997</v>
      </c>
      <c r="AQ199" s="3">
        <v>302.65572149999997</v>
      </c>
      <c r="AR199" s="3">
        <v>302.65572149999997</v>
      </c>
      <c r="AS199" s="3">
        <v>302.65572149999997</v>
      </c>
      <c r="AT199" s="3">
        <v>302.65572149999997</v>
      </c>
      <c r="AU199" s="3">
        <v>302.65572149999997</v>
      </c>
      <c r="AV199" s="3">
        <v>302.65572149999997</v>
      </c>
      <c r="AW199" s="3">
        <v>302.65572149999997</v>
      </c>
      <c r="AX199" s="3">
        <v>2723.9014934999996</v>
      </c>
    </row>
    <row r="200" spans="22:50" x14ac:dyDescent="0.35">
      <c r="V200" s="2" t="s">
        <v>138</v>
      </c>
      <c r="W200" s="1" t="s">
        <v>2</v>
      </c>
      <c r="AF200" s="4" t="s">
        <v>124</v>
      </c>
      <c r="AG200" s="4" t="s">
        <v>93</v>
      </c>
      <c r="AH200" t="s">
        <v>126</v>
      </c>
      <c r="AI200" s="4" t="s">
        <v>83</v>
      </c>
      <c r="AJ200" t="s">
        <v>101</v>
      </c>
      <c r="AK200" t="s">
        <v>81</v>
      </c>
      <c r="AL200" s="3"/>
      <c r="AM200" s="3"/>
      <c r="AN200" s="3">
        <v>591.56594999999993</v>
      </c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591.56594999999993</v>
      </c>
    </row>
    <row r="201" spans="22:50" x14ac:dyDescent="0.35">
      <c r="V201" s="2" t="s">
        <v>137</v>
      </c>
      <c r="W201" s="1" t="s">
        <v>2</v>
      </c>
      <c r="AF201" s="4" t="s">
        <v>124</v>
      </c>
      <c r="AG201" s="4" t="s">
        <v>93</v>
      </c>
      <c r="AH201" t="s">
        <v>123</v>
      </c>
      <c r="AI201" s="4" t="s">
        <v>83</v>
      </c>
      <c r="AJ201" t="s">
        <v>82</v>
      </c>
      <c r="AK201" t="s">
        <v>81</v>
      </c>
      <c r="AL201" s="3"/>
      <c r="AM201" s="3"/>
      <c r="AN201" s="3"/>
      <c r="AO201" s="3">
        <v>206.06213924999997</v>
      </c>
      <c r="AP201" s="3">
        <v>206.06213924999997</v>
      </c>
      <c r="AQ201" s="3">
        <v>206.06213924999997</v>
      </c>
      <c r="AR201" s="3">
        <v>206.06213924999997</v>
      </c>
      <c r="AS201" s="3">
        <v>206.06213924999997</v>
      </c>
      <c r="AT201" s="3">
        <v>206.06213924999997</v>
      </c>
      <c r="AU201" s="3">
        <v>206.06213924999997</v>
      </c>
      <c r="AV201" s="3">
        <v>206.06213924999997</v>
      </c>
      <c r="AW201" s="3">
        <v>206.06213924999997</v>
      </c>
      <c r="AX201" s="3">
        <v>1854.5592532499998</v>
      </c>
    </row>
    <row r="202" spans="22:50" x14ac:dyDescent="0.35">
      <c r="V202" s="2" t="s">
        <v>136</v>
      </c>
      <c r="W202" s="1" t="s">
        <v>0</v>
      </c>
      <c r="AF202" s="4" t="s">
        <v>124</v>
      </c>
      <c r="AG202" s="4" t="s">
        <v>88</v>
      </c>
      <c r="AH202" t="s">
        <v>134</v>
      </c>
      <c r="AI202" s="4" t="s">
        <v>83</v>
      </c>
      <c r="AJ202" t="s">
        <v>82</v>
      </c>
      <c r="AK202" t="s">
        <v>81</v>
      </c>
      <c r="AL202" s="3"/>
      <c r="AM202" s="3"/>
      <c r="AN202" s="3"/>
      <c r="AO202" s="3">
        <v>3060.1856284999999</v>
      </c>
      <c r="AP202" s="3">
        <v>3060.1856284999999</v>
      </c>
      <c r="AQ202" s="3">
        <v>3060.1856284999999</v>
      </c>
      <c r="AR202" s="3">
        <v>3060.1856284999999</v>
      </c>
      <c r="AS202" s="3">
        <v>3060.1856284999999</v>
      </c>
      <c r="AT202" s="3">
        <v>3060.1856284999999</v>
      </c>
      <c r="AU202" s="3">
        <v>3060.1856284999999</v>
      </c>
      <c r="AV202" s="3">
        <v>3060.1856284999999</v>
      </c>
      <c r="AW202" s="3">
        <v>3060.1856284999999</v>
      </c>
      <c r="AX202" s="3">
        <v>27541.670656499999</v>
      </c>
    </row>
    <row r="203" spans="22:50" x14ac:dyDescent="0.35">
      <c r="V203" s="2" t="s">
        <v>135</v>
      </c>
      <c r="W203" s="1" t="s">
        <v>0</v>
      </c>
      <c r="AF203" s="4" t="s">
        <v>124</v>
      </c>
      <c r="AG203" s="4" t="s">
        <v>88</v>
      </c>
      <c r="AH203" t="s">
        <v>134</v>
      </c>
      <c r="AI203" s="4" t="s">
        <v>83</v>
      </c>
      <c r="AJ203" t="s">
        <v>101</v>
      </c>
      <c r="AK203" t="s">
        <v>81</v>
      </c>
      <c r="AL203" s="3">
        <v>2928.4558333333334</v>
      </c>
      <c r="AM203" s="3">
        <v>2928.4558333333334</v>
      </c>
      <c r="AN203" s="3">
        <v>2928.4558333333334</v>
      </c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8785.3675000000003</v>
      </c>
    </row>
    <row r="204" spans="22:50" x14ac:dyDescent="0.35">
      <c r="V204" s="2" t="s">
        <v>133</v>
      </c>
      <c r="W204" s="1" t="s">
        <v>0</v>
      </c>
      <c r="AF204" s="4" t="s">
        <v>124</v>
      </c>
      <c r="AG204" s="4" t="s">
        <v>88</v>
      </c>
      <c r="AH204" t="s">
        <v>131</v>
      </c>
      <c r="AI204" s="4" t="s">
        <v>92</v>
      </c>
      <c r="AJ204" t="s">
        <v>82</v>
      </c>
      <c r="AK204" t="s">
        <v>81</v>
      </c>
      <c r="AL204" s="3"/>
      <c r="AM204" s="3"/>
      <c r="AN204" s="3"/>
      <c r="AO204" s="3">
        <v>1237.0883290390623</v>
      </c>
      <c r="AP204" s="3">
        <v>1237.0883290390623</v>
      </c>
      <c r="AQ204" s="3">
        <v>1237.0883290390623</v>
      </c>
      <c r="AR204" s="3">
        <v>1237.0883290390623</v>
      </c>
      <c r="AS204" s="3">
        <v>1237.0883290390623</v>
      </c>
      <c r="AT204" s="3">
        <v>1237.0883290390623</v>
      </c>
      <c r="AU204" s="3">
        <v>1237.0883290390623</v>
      </c>
      <c r="AV204" s="3">
        <v>1237.0883290390623</v>
      </c>
      <c r="AW204" s="3">
        <v>1237.0883290390623</v>
      </c>
      <c r="AX204" s="3">
        <v>11133.794961351561</v>
      </c>
    </row>
    <row r="205" spans="22:50" x14ac:dyDescent="0.35">
      <c r="V205" s="2" t="s">
        <v>132</v>
      </c>
      <c r="W205" s="1" t="s">
        <v>0</v>
      </c>
      <c r="AF205" s="4" t="s">
        <v>124</v>
      </c>
      <c r="AG205" s="4" t="s">
        <v>88</v>
      </c>
      <c r="AH205" t="s">
        <v>131</v>
      </c>
      <c r="AI205" s="4" t="s">
        <v>83</v>
      </c>
      <c r="AJ205" t="s">
        <v>82</v>
      </c>
      <c r="AK205" t="s">
        <v>81</v>
      </c>
      <c r="AL205" s="3"/>
      <c r="AM205" s="3"/>
      <c r="AN205" s="3"/>
      <c r="AO205" s="3">
        <v>2083.5171857499995</v>
      </c>
      <c r="AP205" s="3">
        <v>2083.5171857499995</v>
      </c>
      <c r="AQ205" s="3">
        <v>2083.5171857499995</v>
      </c>
      <c r="AR205" s="3">
        <v>2083.5171857499995</v>
      </c>
      <c r="AS205" s="3">
        <v>2083.5171857499995</v>
      </c>
      <c r="AT205" s="3">
        <v>2083.5171857499995</v>
      </c>
      <c r="AU205" s="3">
        <v>2083.5171857499995</v>
      </c>
      <c r="AV205" s="3">
        <v>2083.5171857499995</v>
      </c>
      <c r="AW205" s="3">
        <v>2083.5171857499995</v>
      </c>
      <c r="AX205" s="3">
        <v>18751.654671749995</v>
      </c>
    </row>
    <row r="206" spans="22:50" x14ac:dyDescent="0.35">
      <c r="V206" s="2" t="s">
        <v>130</v>
      </c>
      <c r="W206" s="1" t="s">
        <v>6</v>
      </c>
      <c r="AF206" s="4" t="s">
        <v>124</v>
      </c>
      <c r="AG206" s="4" t="s">
        <v>88</v>
      </c>
      <c r="AH206" t="s">
        <v>128</v>
      </c>
      <c r="AI206" s="4" t="s">
        <v>92</v>
      </c>
      <c r="AJ206" t="s">
        <v>82</v>
      </c>
      <c r="AK206" t="s">
        <v>81</v>
      </c>
      <c r="AL206" s="3"/>
      <c r="AM206" s="3"/>
      <c r="AN206" s="3"/>
      <c r="AO206" s="3">
        <v>1816.985216921875</v>
      </c>
      <c r="AP206" s="3">
        <v>1816.985216921875</v>
      </c>
      <c r="AQ206" s="3">
        <v>1816.985216921875</v>
      </c>
      <c r="AR206" s="3">
        <v>1816.985216921875</v>
      </c>
      <c r="AS206" s="3">
        <v>1816.985216921875</v>
      </c>
      <c r="AT206" s="3">
        <v>1816.985216921875</v>
      </c>
      <c r="AU206" s="3">
        <v>1816.985216921875</v>
      </c>
      <c r="AV206" s="3">
        <v>1816.985216921875</v>
      </c>
      <c r="AW206" s="3">
        <v>1816.985216921875</v>
      </c>
      <c r="AX206" s="3">
        <v>16352.866952296878</v>
      </c>
    </row>
    <row r="207" spans="22:50" x14ac:dyDescent="0.35">
      <c r="V207" s="2" t="s">
        <v>129</v>
      </c>
      <c r="W207" s="1" t="s">
        <v>6</v>
      </c>
      <c r="AF207" s="4" t="s">
        <v>124</v>
      </c>
      <c r="AG207" s="4" t="s">
        <v>88</v>
      </c>
      <c r="AH207" t="s">
        <v>128</v>
      </c>
      <c r="AI207" s="4" t="s">
        <v>83</v>
      </c>
      <c r="AJ207" t="s">
        <v>82</v>
      </c>
      <c r="AK207" t="s">
        <v>81</v>
      </c>
      <c r="AL207" s="3"/>
      <c r="AM207" s="3"/>
      <c r="AN207" s="3"/>
      <c r="AO207" s="3">
        <v>3060.1856284999999</v>
      </c>
      <c r="AP207" s="3">
        <v>3060.1856284999999</v>
      </c>
      <c r="AQ207" s="3">
        <v>3060.1856284999999</v>
      </c>
      <c r="AR207" s="3">
        <v>3060.1856284999999</v>
      </c>
      <c r="AS207" s="3">
        <v>3060.1856284999999</v>
      </c>
      <c r="AT207" s="3">
        <v>3060.1856284999999</v>
      </c>
      <c r="AU207" s="3">
        <v>3060.1856284999999</v>
      </c>
      <c r="AV207" s="3">
        <v>3060.1856284999999</v>
      </c>
      <c r="AW207" s="3">
        <v>3060.1856284999999</v>
      </c>
      <c r="AX207" s="3">
        <v>27541.670656499999</v>
      </c>
    </row>
    <row r="208" spans="22:50" x14ac:dyDescent="0.35">
      <c r="V208" s="2" t="s">
        <v>127</v>
      </c>
      <c r="W208" s="1" t="s">
        <v>2</v>
      </c>
      <c r="AF208" s="4" t="s">
        <v>124</v>
      </c>
      <c r="AG208" s="4" t="s">
        <v>88</v>
      </c>
      <c r="AH208" t="s">
        <v>126</v>
      </c>
      <c r="AI208" s="4" t="s">
        <v>83</v>
      </c>
      <c r="AJ208" t="s">
        <v>101</v>
      </c>
      <c r="AK208" t="s">
        <v>81</v>
      </c>
      <c r="AL208" s="3">
        <v>1993.7963499999998</v>
      </c>
      <c r="AM208" s="3">
        <v>1993.7963499999998</v>
      </c>
      <c r="AN208" s="3">
        <v>1993.7963499999998</v>
      </c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5981.3890499999998</v>
      </c>
    </row>
    <row r="209" spans="22:50" x14ac:dyDescent="0.35">
      <c r="V209" s="2" t="s">
        <v>125</v>
      </c>
      <c r="W209" s="1" t="s">
        <v>2</v>
      </c>
      <c r="AF209" s="5" t="s">
        <v>124</v>
      </c>
      <c r="AG209" s="4" t="s">
        <v>88</v>
      </c>
      <c r="AH209" t="s">
        <v>123</v>
      </c>
      <c r="AI209" s="4" t="s">
        <v>83</v>
      </c>
      <c r="AJ209" t="s">
        <v>82</v>
      </c>
      <c r="AK209" t="s">
        <v>81</v>
      </c>
      <c r="AL209" s="3"/>
      <c r="AM209" s="3"/>
      <c r="AN209" s="3"/>
      <c r="AO209" s="3">
        <v>2083.5171857499995</v>
      </c>
      <c r="AP209" s="3">
        <v>2083.5171857499995</v>
      </c>
      <c r="AQ209" s="3">
        <v>2083.5171857499995</v>
      </c>
      <c r="AR209" s="3">
        <v>2083.5171857499995</v>
      </c>
      <c r="AS209" s="3">
        <v>2083.5171857499995</v>
      </c>
      <c r="AT209" s="3">
        <v>2083.5171857499995</v>
      </c>
      <c r="AU209" s="3">
        <v>2083.5171857499995</v>
      </c>
      <c r="AV209" s="3">
        <v>2083.5171857499995</v>
      </c>
      <c r="AW209" s="3">
        <v>2083.5171857499995</v>
      </c>
      <c r="AX209" s="3">
        <v>18751.654671749995</v>
      </c>
    </row>
    <row r="210" spans="22:50" x14ac:dyDescent="0.35">
      <c r="V210" s="2" t="s">
        <v>122</v>
      </c>
      <c r="W210" s="1" t="s">
        <v>0</v>
      </c>
      <c r="AF210" s="4" t="s">
        <v>119</v>
      </c>
      <c r="AG210" s="4" t="s">
        <v>88</v>
      </c>
      <c r="AH210" t="s">
        <v>121</v>
      </c>
      <c r="AI210" s="4" t="s">
        <v>92</v>
      </c>
      <c r="AJ210" t="s">
        <v>117</v>
      </c>
      <c r="AK210" t="s">
        <v>81</v>
      </c>
      <c r="AL210" s="3">
        <v>8468</v>
      </c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8468</v>
      </c>
    </row>
    <row r="211" spans="22:50" x14ac:dyDescent="0.35">
      <c r="V211" s="2" t="s">
        <v>120</v>
      </c>
      <c r="W211" s="1" t="s">
        <v>6</v>
      </c>
      <c r="AF211" s="5" t="s">
        <v>119</v>
      </c>
      <c r="AG211" s="4" t="s">
        <v>88</v>
      </c>
      <c r="AH211" t="s">
        <v>118</v>
      </c>
      <c r="AI211" s="4" t="s">
        <v>92</v>
      </c>
      <c r="AJ211" t="s">
        <v>117</v>
      </c>
      <c r="AK211" t="s">
        <v>81</v>
      </c>
      <c r="AL211" s="3">
        <v>4234</v>
      </c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4234</v>
      </c>
    </row>
    <row r="212" spans="22:50" x14ac:dyDescent="0.35">
      <c r="V212" s="2" t="s">
        <v>116</v>
      </c>
      <c r="W212" s="1" t="s">
        <v>2</v>
      </c>
      <c r="AF212" s="4" t="s">
        <v>103</v>
      </c>
      <c r="AG212" s="4" t="s">
        <v>88</v>
      </c>
      <c r="AH212" t="s">
        <v>115</v>
      </c>
      <c r="AI212" s="4" t="s">
        <v>83</v>
      </c>
      <c r="AJ212" t="s">
        <v>101</v>
      </c>
      <c r="AK212" t="s">
        <v>95</v>
      </c>
      <c r="AL212" s="3">
        <v>5228.7091666666665</v>
      </c>
      <c r="AM212" s="3">
        <v>5228.7091666666665</v>
      </c>
      <c r="AN212" s="3">
        <v>5228.7091666666665</v>
      </c>
      <c r="AO212" s="3">
        <v>5228.7091666666665</v>
      </c>
      <c r="AP212" s="3">
        <v>5228.7091666666665</v>
      </c>
      <c r="AQ212" s="3">
        <v>5228.7091666666665</v>
      </c>
      <c r="AR212" s="3">
        <v>5228.7091666666665</v>
      </c>
      <c r="AS212" s="3">
        <v>5228.7091666666665</v>
      </c>
      <c r="AT212" s="3">
        <v>5228.7091666666665</v>
      </c>
      <c r="AU212" s="3">
        <v>5228.7091666666665</v>
      </c>
      <c r="AV212" s="3">
        <v>5228.7091666666665</v>
      </c>
      <c r="AW212" s="3">
        <v>5228.7091666666665</v>
      </c>
      <c r="AX212" s="3">
        <v>62744.51</v>
      </c>
    </row>
    <row r="213" spans="22:50" x14ac:dyDescent="0.35">
      <c r="V213" s="2" t="s">
        <v>114</v>
      </c>
      <c r="W213" s="1" t="s">
        <v>0</v>
      </c>
      <c r="AF213" s="4" t="s">
        <v>103</v>
      </c>
      <c r="AG213" s="4" t="s">
        <v>88</v>
      </c>
      <c r="AH213" t="s">
        <v>113</v>
      </c>
      <c r="AI213" s="4" t="s">
        <v>83</v>
      </c>
      <c r="AJ213" t="s">
        <v>101</v>
      </c>
      <c r="AK213" t="s">
        <v>95</v>
      </c>
      <c r="AL213" s="3">
        <v>3812.5450000000001</v>
      </c>
      <c r="AM213" s="3">
        <v>3812.5450000000001</v>
      </c>
      <c r="AN213" s="3">
        <v>3812.5450000000001</v>
      </c>
      <c r="AO213" s="3">
        <v>3812.5450000000001</v>
      </c>
      <c r="AP213" s="3">
        <v>3812.5450000000001</v>
      </c>
      <c r="AQ213" s="3">
        <v>3812.5450000000001</v>
      </c>
      <c r="AR213" s="3">
        <v>3812.5450000000001</v>
      </c>
      <c r="AS213" s="3">
        <v>3812.5450000000001</v>
      </c>
      <c r="AT213" s="3">
        <v>3812.5450000000001</v>
      </c>
      <c r="AU213" s="3">
        <v>3812.5450000000001</v>
      </c>
      <c r="AV213" s="3">
        <v>3812.5450000000001</v>
      </c>
      <c r="AW213" s="3">
        <v>3812.5450000000001</v>
      </c>
      <c r="AX213" s="3">
        <v>45750.539999999986</v>
      </c>
    </row>
    <row r="214" spans="22:50" x14ac:dyDescent="0.35">
      <c r="V214" s="2" t="s">
        <v>112</v>
      </c>
      <c r="W214" s="1" t="s">
        <v>0</v>
      </c>
      <c r="AF214" s="4" t="s">
        <v>103</v>
      </c>
      <c r="AG214" s="4" t="s">
        <v>88</v>
      </c>
      <c r="AH214" t="s">
        <v>111</v>
      </c>
      <c r="AI214" s="4" t="s">
        <v>83</v>
      </c>
      <c r="AJ214" t="s">
        <v>101</v>
      </c>
      <c r="AK214" t="s">
        <v>95</v>
      </c>
      <c r="AL214" s="3">
        <v>2124.1174999999998</v>
      </c>
      <c r="AM214" s="3">
        <v>2124.1174999999998</v>
      </c>
      <c r="AN214" s="3">
        <v>2124.1174999999998</v>
      </c>
      <c r="AO214" s="3">
        <v>2124.1174999999998</v>
      </c>
      <c r="AP214" s="3">
        <v>2124.1174999999998</v>
      </c>
      <c r="AQ214" s="3">
        <v>2124.1174999999998</v>
      </c>
      <c r="AR214" s="3">
        <v>2124.1174999999998</v>
      </c>
      <c r="AS214" s="3">
        <v>2124.1174999999998</v>
      </c>
      <c r="AT214" s="3">
        <v>2124.1174999999998</v>
      </c>
      <c r="AU214" s="3">
        <v>2124.1174999999998</v>
      </c>
      <c r="AV214" s="3">
        <v>2124.1174999999998</v>
      </c>
      <c r="AW214" s="3">
        <v>2124.1174999999998</v>
      </c>
      <c r="AX214" s="3">
        <v>25489.41</v>
      </c>
    </row>
    <row r="215" spans="22:50" x14ac:dyDescent="0.35">
      <c r="V215" s="2" t="s">
        <v>110</v>
      </c>
      <c r="W215" s="1" t="s">
        <v>0</v>
      </c>
      <c r="AF215" s="4" t="s">
        <v>103</v>
      </c>
      <c r="AG215" s="4" t="s">
        <v>88</v>
      </c>
      <c r="AH215" t="s">
        <v>109</v>
      </c>
      <c r="AI215" s="4" t="s">
        <v>83</v>
      </c>
      <c r="AJ215" t="s">
        <v>101</v>
      </c>
      <c r="AK215" t="s">
        <v>95</v>
      </c>
      <c r="AL215" s="3">
        <v>5991.166666666667</v>
      </c>
      <c r="AM215" s="3">
        <v>5991.166666666667</v>
      </c>
      <c r="AN215" s="3">
        <v>5991.166666666667</v>
      </c>
      <c r="AO215" s="3">
        <v>5991.166666666667</v>
      </c>
      <c r="AP215" s="3">
        <v>5991.166666666667</v>
      </c>
      <c r="AQ215" s="3">
        <v>5991.166666666667</v>
      </c>
      <c r="AR215" s="3">
        <v>5991.166666666667</v>
      </c>
      <c r="AS215" s="3">
        <v>5991.166666666667</v>
      </c>
      <c r="AT215" s="3">
        <v>5991.166666666667</v>
      </c>
      <c r="AU215" s="3">
        <v>5991.166666666667</v>
      </c>
      <c r="AV215" s="3">
        <v>5991.166666666667</v>
      </c>
      <c r="AW215" s="3">
        <v>5991.166666666667</v>
      </c>
      <c r="AX215" s="3">
        <v>71894</v>
      </c>
    </row>
    <row r="216" spans="22:50" x14ac:dyDescent="0.35">
      <c r="V216" s="2" t="s">
        <v>108</v>
      </c>
      <c r="W216" s="1" t="s">
        <v>6</v>
      </c>
      <c r="AF216" s="4" t="s">
        <v>103</v>
      </c>
      <c r="AG216" s="4" t="s">
        <v>88</v>
      </c>
      <c r="AH216" t="s">
        <v>107</v>
      </c>
      <c r="AI216" s="4" t="s">
        <v>83</v>
      </c>
      <c r="AJ216" t="s">
        <v>101</v>
      </c>
      <c r="AK216" t="s">
        <v>95</v>
      </c>
      <c r="AL216" s="3">
        <v>3812.5450000000001</v>
      </c>
      <c r="AM216" s="3">
        <v>3812.5450000000001</v>
      </c>
      <c r="AN216" s="3">
        <v>3812.5450000000001</v>
      </c>
      <c r="AO216" s="3">
        <v>3812.5450000000001</v>
      </c>
      <c r="AP216" s="3">
        <v>3812.5450000000001</v>
      </c>
      <c r="AQ216" s="3">
        <v>3812.5450000000001</v>
      </c>
      <c r="AR216" s="3">
        <v>3812.5450000000001</v>
      </c>
      <c r="AS216" s="3">
        <v>3812.5450000000001</v>
      </c>
      <c r="AT216" s="3">
        <v>3812.5450000000001</v>
      </c>
      <c r="AU216" s="3">
        <v>3812.5450000000001</v>
      </c>
      <c r="AV216" s="3">
        <v>3812.5450000000001</v>
      </c>
      <c r="AW216" s="3">
        <v>3812.5450000000001</v>
      </c>
      <c r="AX216" s="3">
        <v>45750.539999999986</v>
      </c>
    </row>
    <row r="217" spans="22:50" x14ac:dyDescent="0.35">
      <c r="V217" s="2" t="s">
        <v>106</v>
      </c>
      <c r="W217" s="1" t="s">
        <v>2</v>
      </c>
      <c r="AF217" s="4" t="s">
        <v>103</v>
      </c>
      <c r="AG217" s="4" t="s">
        <v>88</v>
      </c>
      <c r="AH217" t="s">
        <v>105</v>
      </c>
      <c r="AI217" s="4" t="s">
        <v>83</v>
      </c>
      <c r="AJ217" t="s">
        <v>101</v>
      </c>
      <c r="AK217" t="s">
        <v>95</v>
      </c>
      <c r="AL217" s="3">
        <v>2039.1424999999999</v>
      </c>
      <c r="AM217" s="3">
        <v>2039.1424999999999</v>
      </c>
      <c r="AN217" s="3">
        <v>2039.1424999999999</v>
      </c>
      <c r="AO217" s="3">
        <v>2039.1424999999999</v>
      </c>
      <c r="AP217" s="3">
        <v>2039.1424999999999</v>
      </c>
      <c r="AQ217" s="3">
        <v>2039.1424999999999</v>
      </c>
      <c r="AR217" s="3">
        <v>2039.1424999999999</v>
      </c>
      <c r="AS217" s="3">
        <v>2039.1424999999999</v>
      </c>
      <c r="AT217" s="3">
        <v>2039.1424999999999</v>
      </c>
      <c r="AU217" s="3">
        <v>2039.1424999999999</v>
      </c>
      <c r="AV217" s="3">
        <v>2039.1424999999999</v>
      </c>
      <c r="AW217" s="3">
        <v>2039.1424999999999</v>
      </c>
      <c r="AX217" s="3">
        <v>24469.710000000006</v>
      </c>
    </row>
    <row r="218" spans="22:50" x14ac:dyDescent="0.35">
      <c r="V218" s="2" t="s">
        <v>104</v>
      </c>
      <c r="W218" s="1" t="s">
        <v>0</v>
      </c>
      <c r="AF218" s="5" t="s">
        <v>103</v>
      </c>
      <c r="AG218" s="4" t="s">
        <v>88</v>
      </c>
      <c r="AH218" t="s">
        <v>102</v>
      </c>
      <c r="AI218" s="4" t="s">
        <v>83</v>
      </c>
      <c r="AJ218" t="s">
        <v>101</v>
      </c>
      <c r="AK218" t="s">
        <v>95</v>
      </c>
      <c r="AL218" s="3">
        <v>2330.4608333333335</v>
      </c>
      <c r="AM218" s="3">
        <v>2330.4608333333335</v>
      </c>
      <c r="AN218" s="3">
        <v>2330.4608333333335</v>
      </c>
      <c r="AO218" s="3">
        <v>2330.4608333333335</v>
      </c>
      <c r="AP218" s="3">
        <v>2330.4608333333335</v>
      </c>
      <c r="AQ218" s="3">
        <v>2330.4608333333335</v>
      </c>
      <c r="AR218" s="3">
        <v>2330.4608333333335</v>
      </c>
      <c r="AS218" s="3">
        <v>2330.4608333333335</v>
      </c>
      <c r="AT218" s="3">
        <v>2330.4608333333335</v>
      </c>
      <c r="AU218" s="3">
        <v>2330.4608333333335</v>
      </c>
      <c r="AV218" s="3">
        <v>2330.4608333333335</v>
      </c>
      <c r="AW218" s="3">
        <v>2330.4608333333335</v>
      </c>
      <c r="AX218" s="3">
        <v>27965.53000000001</v>
      </c>
    </row>
    <row r="219" spans="22:50" x14ac:dyDescent="0.35">
      <c r="V219" s="2" t="s">
        <v>100</v>
      </c>
      <c r="W219" s="1" t="s">
        <v>2</v>
      </c>
      <c r="AF219" s="4" t="s">
        <v>98</v>
      </c>
      <c r="AG219" s="4" t="s">
        <v>93</v>
      </c>
      <c r="AH219" t="s">
        <v>97</v>
      </c>
      <c r="AI219" s="4" t="s">
        <v>83</v>
      </c>
      <c r="AJ219" t="s">
        <v>96</v>
      </c>
      <c r="AK219" t="s">
        <v>95</v>
      </c>
      <c r="AL219" s="3">
        <v>474.11666666666673</v>
      </c>
      <c r="AM219" s="3">
        <v>474.11666666666673</v>
      </c>
      <c r="AN219" s="3">
        <v>-474.1025333333331</v>
      </c>
      <c r="AO219" s="3">
        <v>474.11666666666673</v>
      </c>
      <c r="AP219" s="3">
        <v>474.11666666666673</v>
      </c>
      <c r="AQ219" s="3">
        <v>474.11666666666673</v>
      </c>
      <c r="AR219" s="3">
        <v>474.11666666666673</v>
      </c>
      <c r="AS219" s="3">
        <v>474.11666666666673</v>
      </c>
      <c r="AT219" s="3">
        <v>474.11666666666673</v>
      </c>
      <c r="AU219" s="3">
        <v>474.11666666666673</v>
      </c>
      <c r="AV219" s="3">
        <v>474.11666666666673</v>
      </c>
      <c r="AW219" s="3">
        <v>474.11666666666673</v>
      </c>
      <c r="AX219" s="3">
        <v>4741.180800000001</v>
      </c>
    </row>
    <row r="220" spans="22:50" x14ac:dyDescent="0.35">
      <c r="V220" s="2" t="s">
        <v>99</v>
      </c>
      <c r="W220" s="1" t="s">
        <v>6</v>
      </c>
      <c r="AF220" s="5" t="s">
        <v>98</v>
      </c>
      <c r="AG220" s="4" t="s">
        <v>88</v>
      </c>
      <c r="AH220" t="s">
        <v>97</v>
      </c>
      <c r="AI220" s="4" t="s">
        <v>83</v>
      </c>
      <c r="AJ220" t="s">
        <v>96</v>
      </c>
      <c r="AK220" t="s">
        <v>95</v>
      </c>
      <c r="AL220" s="3">
        <v>1659.4083333333331</v>
      </c>
      <c r="AM220" s="3">
        <v>1659.4083333333331</v>
      </c>
      <c r="AN220" s="3">
        <v>-1896.4136666666702</v>
      </c>
      <c r="AO220" s="3">
        <v>1659.4083333333331</v>
      </c>
      <c r="AP220" s="3">
        <v>1659.4083333333331</v>
      </c>
      <c r="AQ220" s="3">
        <v>1659.4083333333331</v>
      </c>
      <c r="AR220" s="3">
        <v>1659.4083333333331</v>
      </c>
      <c r="AS220" s="3">
        <v>1659.4083333333331</v>
      </c>
      <c r="AT220" s="3">
        <v>1659.4083333333331</v>
      </c>
      <c r="AU220" s="3">
        <v>1659.4083333333331</v>
      </c>
      <c r="AV220" s="3">
        <v>1659.4083333333331</v>
      </c>
      <c r="AW220" s="3">
        <v>1659.4083333333331</v>
      </c>
      <c r="AX220" s="3">
        <v>16357.077999999992</v>
      </c>
    </row>
    <row r="221" spans="22:50" x14ac:dyDescent="0.35">
      <c r="V221" s="2" t="s">
        <v>94</v>
      </c>
      <c r="W221" s="1" t="s">
        <v>6</v>
      </c>
      <c r="AF221" s="4" t="s">
        <v>89</v>
      </c>
      <c r="AG221" s="4" t="s">
        <v>93</v>
      </c>
      <c r="AH221" t="s">
        <v>84</v>
      </c>
      <c r="AI221" s="4" t="s">
        <v>92</v>
      </c>
      <c r="AJ221" t="s">
        <v>91</v>
      </c>
      <c r="AK221" t="s">
        <v>81</v>
      </c>
      <c r="AL221" s="3">
        <v>6792.5</v>
      </c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6792.5</v>
      </c>
    </row>
    <row r="222" spans="22:50" x14ac:dyDescent="0.35">
      <c r="V222" s="2" t="s">
        <v>90</v>
      </c>
      <c r="W222" s="1" t="s">
        <v>2</v>
      </c>
      <c r="AF222" s="5" t="s">
        <v>89</v>
      </c>
      <c r="AG222" s="4" t="s">
        <v>88</v>
      </c>
      <c r="AH222" t="s">
        <v>84</v>
      </c>
      <c r="AI222" s="4" t="s">
        <v>83</v>
      </c>
      <c r="AJ222" t="s">
        <v>82</v>
      </c>
      <c r="AK222" t="s">
        <v>81</v>
      </c>
      <c r="AL222" s="3">
        <v>1671</v>
      </c>
      <c r="AM222" s="3">
        <v>1671</v>
      </c>
      <c r="AN222" s="3">
        <v>1671</v>
      </c>
      <c r="AO222" s="3">
        <v>1671</v>
      </c>
      <c r="AP222" s="3">
        <v>1671</v>
      </c>
      <c r="AQ222" s="3">
        <v>1671</v>
      </c>
      <c r="AR222" s="3">
        <v>1671</v>
      </c>
      <c r="AS222" s="3">
        <v>1671</v>
      </c>
      <c r="AT222" s="3">
        <v>1671</v>
      </c>
      <c r="AU222" s="3">
        <v>1671</v>
      </c>
      <c r="AV222" s="3">
        <v>1671</v>
      </c>
      <c r="AW222" s="3">
        <v>1671</v>
      </c>
      <c r="AX222" s="3">
        <v>20052</v>
      </c>
    </row>
    <row r="223" spans="22:50" x14ac:dyDescent="0.35">
      <c r="V223" s="2" t="s">
        <v>87</v>
      </c>
      <c r="W223" s="1" t="s">
        <v>6</v>
      </c>
      <c r="AF223" s="5" t="s">
        <v>86</v>
      </c>
      <c r="AG223" s="4" t="s">
        <v>85</v>
      </c>
      <c r="AH223" t="s">
        <v>84</v>
      </c>
      <c r="AI223" s="4" t="s">
        <v>83</v>
      </c>
      <c r="AJ223" t="s">
        <v>82</v>
      </c>
      <c r="AK223" t="s">
        <v>81</v>
      </c>
      <c r="AL223" s="3">
        <v>580.65</v>
      </c>
      <c r="AM223" s="3">
        <v>580.65</v>
      </c>
      <c r="AN223" s="3">
        <v>580.65</v>
      </c>
      <c r="AO223" s="3">
        <v>580.65</v>
      </c>
      <c r="AP223" s="3">
        <v>580.65</v>
      </c>
      <c r="AQ223" s="3">
        <v>580.65</v>
      </c>
      <c r="AR223" s="3">
        <v>580.65</v>
      </c>
      <c r="AS223" s="3">
        <v>580.65</v>
      </c>
      <c r="AT223" s="3">
        <v>580.65</v>
      </c>
      <c r="AU223" s="3">
        <v>580.65</v>
      </c>
      <c r="AV223" s="3">
        <v>580.65</v>
      </c>
      <c r="AW223" s="3">
        <v>580.65</v>
      </c>
      <c r="AX223" s="3">
        <v>6967.7999999999984</v>
      </c>
    </row>
    <row r="224" spans="22:50" x14ac:dyDescent="0.35">
      <c r="V224" s="2" t="s">
        <v>80</v>
      </c>
      <c r="W224" s="1" t="s">
        <v>0</v>
      </c>
    </row>
    <row r="225" spans="22:23" x14ac:dyDescent="0.35">
      <c r="V225" s="2" t="s">
        <v>79</v>
      </c>
      <c r="W225" s="1" t="s">
        <v>6</v>
      </c>
    </row>
    <row r="226" spans="22:23" x14ac:dyDescent="0.35">
      <c r="V226" s="2" t="s">
        <v>78</v>
      </c>
      <c r="W226" s="1" t="s">
        <v>0</v>
      </c>
    </row>
    <row r="227" spans="22:23" x14ac:dyDescent="0.35">
      <c r="V227" s="2" t="s">
        <v>77</v>
      </c>
      <c r="W227" s="1" t="s">
        <v>6</v>
      </c>
    </row>
    <row r="228" spans="22:23" x14ac:dyDescent="0.35">
      <c r="V228" s="2" t="s">
        <v>76</v>
      </c>
      <c r="W228" s="1" t="s">
        <v>6</v>
      </c>
    </row>
    <row r="229" spans="22:23" x14ac:dyDescent="0.35">
      <c r="V229" s="2" t="s">
        <v>75</v>
      </c>
      <c r="W229" s="1" t="s">
        <v>6</v>
      </c>
    </row>
    <row r="230" spans="22:23" x14ac:dyDescent="0.35">
      <c r="V230" s="2" t="s">
        <v>74</v>
      </c>
      <c r="W230" s="1" t="s">
        <v>0</v>
      </c>
    </row>
    <row r="231" spans="22:23" x14ac:dyDescent="0.35">
      <c r="V231" s="2" t="s">
        <v>73</v>
      </c>
      <c r="W231" s="1" t="s">
        <v>0</v>
      </c>
    </row>
    <row r="232" spans="22:23" x14ac:dyDescent="0.35">
      <c r="V232" s="2" t="s">
        <v>72</v>
      </c>
      <c r="W232" s="1" t="s">
        <v>2</v>
      </c>
    </row>
    <row r="233" spans="22:23" x14ac:dyDescent="0.35">
      <c r="V233" s="2" t="s">
        <v>71</v>
      </c>
      <c r="W233" s="1" t="s">
        <v>6</v>
      </c>
    </row>
    <row r="234" spans="22:23" x14ac:dyDescent="0.35">
      <c r="V234" s="2" t="s">
        <v>70</v>
      </c>
      <c r="W234" s="1" t="s">
        <v>6</v>
      </c>
    </row>
    <row r="235" spans="22:23" x14ac:dyDescent="0.35">
      <c r="V235" s="2" t="s">
        <v>69</v>
      </c>
      <c r="W235" s="1" t="s">
        <v>0</v>
      </c>
    </row>
    <row r="236" spans="22:23" x14ac:dyDescent="0.35">
      <c r="V236" s="2" t="s">
        <v>68</v>
      </c>
      <c r="W236" s="1" t="s">
        <v>0</v>
      </c>
    </row>
    <row r="237" spans="22:23" x14ac:dyDescent="0.35">
      <c r="V237" s="2" t="s">
        <v>67</v>
      </c>
      <c r="W237" s="1" t="s">
        <v>6</v>
      </c>
    </row>
    <row r="238" spans="22:23" x14ac:dyDescent="0.35">
      <c r="V238" s="2" t="s">
        <v>66</v>
      </c>
      <c r="W238" s="1" t="s">
        <v>6</v>
      </c>
    </row>
    <row r="239" spans="22:23" x14ac:dyDescent="0.35">
      <c r="V239" s="2" t="s">
        <v>65</v>
      </c>
      <c r="W239" s="1" t="s">
        <v>2</v>
      </c>
    </row>
    <row r="240" spans="22:23" x14ac:dyDescent="0.35">
      <c r="V240" s="2" t="s">
        <v>64</v>
      </c>
      <c r="W240" s="1" t="s">
        <v>2</v>
      </c>
    </row>
    <row r="241" spans="22:23" x14ac:dyDescent="0.35">
      <c r="V241" s="2" t="s">
        <v>63</v>
      </c>
      <c r="W241" s="1" t="s">
        <v>6</v>
      </c>
    </row>
    <row r="242" spans="22:23" x14ac:dyDescent="0.35">
      <c r="V242" s="2" t="s">
        <v>62</v>
      </c>
      <c r="W242" s="1" t="s">
        <v>6</v>
      </c>
    </row>
    <row r="243" spans="22:23" x14ac:dyDescent="0.35">
      <c r="V243" s="2" t="s">
        <v>61</v>
      </c>
      <c r="W243" s="1" t="s">
        <v>0</v>
      </c>
    </row>
    <row r="244" spans="22:23" x14ac:dyDescent="0.35">
      <c r="V244" s="2" t="s">
        <v>60</v>
      </c>
      <c r="W244" s="1" t="s">
        <v>6</v>
      </c>
    </row>
    <row r="245" spans="22:23" x14ac:dyDescent="0.35">
      <c r="V245" s="2" t="s">
        <v>59</v>
      </c>
      <c r="W245" s="1" t="s">
        <v>6</v>
      </c>
    </row>
    <row r="246" spans="22:23" x14ac:dyDescent="0.35">
      <c r="V246" s="2" t="s">
        <v>58</v>
      </c>
      <c r="W246" s="1" t="s">
        <v>2</v>
      </c>
    </row>
    <row r="247" spans="22:23" x14ac:dyDescent="0.35">
      <c r="V247" s="2" t="s">
        <v>57</v>
      </c>
      <c r="W247" s="1" t="s">
        <v>2</v>
      </c>
    </row>
    <row r="248" spans="22:23" x14ac:dyDescent="0.35">
      <c r="V248" s="2" t="s">
        <v>56</v>
      </c>
      <c r="W248" s="1" t="s">
        <v>6</v>
      </c>
    </row>
    <row r="249" spans="22:23" x14ac:dyDescent="0.35">
      <c r="V249" s="2" t="s">
        <v>55</v>
      </c>
      <c r="W249" s="1" t="s">
        <v>0</v>
      </c>
    </row>
    <row r="250" spans="22:23" x14ac:dyDescent="0.35">
      <c r="V250" s="2" t="s">
        <v>54</v>
      </c>
      <c r="W250" s="1" t="s">
        <v>2</v>
      </c>
    </row>
    <row r="251" spans="22:23" x14ac:dyDescent="0.35">
      <c r="V251" s="2" t="s">
        <v>53</v>
      </c>
      <c r="W251" s="1" t="s">
        <v>6</v>
      </c>
    </row>
    <row r="252" spans="22:23" x14ac:dyDescent="0.35">
      <c r="V252" s="2" t="s">
        <v>52</v>
      </c>
      <c r="W252" s="1" t="s">
        <v>2</v>
      </c>
    </row>
    <row r="253" spans="22:23" x14ac:dyDescent="0.35">
      <c r="V253" s="2" t="s">
        <v>51</v>
      </c>
      <c r="W253" s="1" t="s">
        <v>2</v>
      </c>
    </row>
    <row r="254" spans="22:23" x14ac:dyDescent="0.35">
      <c r="V254" s="2" t="s">
        <v>50</v>
      </c>
      <c r="W254" s="1" t="s">
        <v>6</v>
      </c>
    </row>
    <row r="255" spans="22:23" x14ac:dyDescent="0.35">
      <c r="V255" s="2" t="s">
        <v>49</v>
      </c>
      <c r="W255" s="1" t="s">
        <v>2</v>
      </c>
    </row>
    <row r="256" spans="22:23" x14ac:dyDescent="0.35">
      <c r="V256" s="2" t="s">
        <v>48</v>
      </c>
      <c r="W256" s="1" t="s">
        <v>6</v>
      </c>
    </row>
    <row r="257" spans="22:23" x14ac:dyDescent="0.35">
      <c r="V257" s="2" t="s">
        <v>47</v>
      </c>
      <c r="W257" s="1" t="s">
        <v>6</v>
      </c>
    </row>
    <row r="258" spans="22:23" x14ac:dyDescent="0.35">
      <c r="V258" s="2" t="s">
        <v>46</v>
      </c>
      <c r="W258" s="1" t="s">
        <v>2</v>
      </c>
    </row>
    <row r="259" spans="22:23" x14ac:dyDescent="0.35">
      <c r="V259" s="2" t="s">
        <v>45</v>
      </c>
      <c r="W259" s="1" t="s">
        <v>2</v>
      </c>
    </row>
    <row r="260" spans="22:23" x14ac:dyDescent="0.35">
      <c r="V260" s="2" t="s">
        <v>44</v>
      </c>
      <c r="W260" s="1" t="s">
        <v>0</v>
      </c>
    </row>
    <row r="261" spans="22:23" x14ac:dyDescent="0.35">
      <c r="V261" s="2" t="s">
        <v>43</v>
      </c>
      <c r="W261" s="1" t="s">
        <v>6</v>
      </c>
    </row>
    <row r="262" spans="22:23" x14ac:dyDescent="0.35">
      <c r="V262" s="2" t="s">
        <v>42</v>
      </c>
      <c r="W262" s="1" t="s">
        <v>0</v>
      </c>
    </row>
    <row r="263" spans="22:23" x14ac:dyDescent="0.35">
      <c r="V263" s="2" t="s">
        <v>41</v>
      </c>
      <c r="W263" s="1" t="s">
        <v>2</v>
      </c>
    </row>
    <row r="264" spans="22:23" x14ac:dyDescent="0.35">
      <c r="V264" s="2" t="s">
        <v>40</v>
      </c>
      <c r="W264" s="1" t="s">
        <v>2</v>
      </c>
    </row>
    <row r="265" spans="22:23" x14ac:dyDescent="0.35">
      <c r="V265" s="2" t="s">
        <v>39</v>
      </c>
      <c r="W265" s="1" t="s">
        <v>2</v>
      </c>
    </row>
    <row r="266" spans="22:23" x14ac:dyDescent="0.35">
      <c r="V266" s="2" t="s">
        <v>38</v>
      </c>
      <c r="W266" s="1" t="s">
        <v>6</v>
      </c>
    </row>
    <row r="267" spans="22:23" x14ac:dyDescent="0.35">
      <c r="V267" s="2" t="s">
        <v>37</v>
      </c>
      <c r="W267" s="1" t="s">
        <v>6</v>
      </c>
    </row>
    <row r="268" spans="22:23" x14ac:dyDescent="0.35">
      <c r="V268" s="2" t="s">
        <v>36</v>
      </c>
      <c r="W268" s="1" t="s">
        <v>6</v>
      </c>
    </row>
    <row r="269" spans="22:23" x14ac:dyDescent="0.35">
      <c r="V269" s="2" t="s">
        <v>35</v>
      </c>
      <c r="W269" s="1" t="s">
        <v>6</v>
      </c>
    </row>
    <row r="270" spans="22:23" x14ac:dyDescent="0.35">
      <c r="V270" s="2" t="s">
        <v>34</v>
      </c>
      <c r="W270" s="1" t="s">
        <v>6</v>
      </c>
    </row>
    <row r="271" spans="22:23" x14ac:dyDescent="0.35">
      <c r="V271" s="2" t="s">
        <v>33</v>
      </c>
      <c r="W271" s="1" t="s">
        <v>0</v>
      </c>
    </row>
    <row r="272" spans="22:23" x14ac:dyDescent="0.35">
      <c r="V272" s="2" t="s">
        <v>32</v>
      </c>
      <c r="W272" s="1" t="s">
        <v>6</v>
      </c>
    </row>
    <row r="273" spans="22:23" x14ac:dyDescent="0.35">
      <c r="V273" s="2" t="s">
        <v>31</v>
      </c>
      <c r="W273" s="1" t="s">
        <v>2</v>
      </c>
    </row>
    <row r="274" spans="22:23" x14ac:dyDescent="0.35">
      <c r="V274" s="2" t="s">
        <v>30</v>
      </c>
      <c r="W274" s="1" t="s">
        <v>2</v>
      </c>
    </row>
    <row r="275" spans="22:23" x14ac:dyDescent="0.35">
      <c r="V275" s="2" t="s">
        <v>29</v>
      </c>
      <c r="W275" s="1" t="s">
        <v>0</v>
      </c>
    </row>
    <row r="276" spans="22:23" x14ac:dyDescent="0.35">
      <c r="V276" s="2" t="s">
        <v>28</v>
      </c>
      <c r="W276" s="1" t="s">
        <v>2</v>
      </c>
    </row>
    <row r="277" spans="22:23" x14ac:dyDescent="0.35">
      <c r="V277" s="2" t="s">
        <v>27</v>
      </c>
      <c r="W277" s="1" t="s">
        <v>6</v>
      </c>
    </row>
    <row r="278" spans="22:23" x14ac:dyDescent="0.35">
      <c r="V278" s="2" t="s">
        <v>26</v>
      </c>
      <c r="W278" s="1" t="s">
        <v>6</v>
      </c>
    </row>
    <row r="279" spans="22:23" x14ac:dyDescent="0.35">
      <c r="V279" s="2" t="s">
        <v>25</v>
      </c>
      <c r="W279" s="1" t="s">
        <v>6</v>
      </c>
    </row>
    <row r="280" spans="22:23" x14ac:dyDescent="0.35">
      <c r="V280" s="2" t="s">
        <v>24</v>
      </c>
      <c r="W280" s="1" t="s">
        <v>0</v>
      </c>
    </row>
    <row r="281" spans="22:23" x14ac:dyDescent="0.35">
      <c r="V281" s="2" t="s">
        <v>23</v>
      </c>
      <c r="W281" s="1" t="s">
        <v>6</v>
      </c>
    </row>
    <row r="282" spans="22:23" x14ac:dyDescent="0.35">
      <c r="V282" s="2" t="s">
        <v>22</v>
      </c>
      <c r="W282" s="1" t="s">
        <v>6</v>
      </c>
    </row>
    <row r="283" spans="22:23" x14ac:dyDescent="0.35">
      <c r="V283" s="2" t="s">
        <v>21</v>
      </c>
      <c r="W283" s="1" t="s">
        <v>6</v>
      </c>
    </row>
    <row r="284" spans="22:23" x14ac:dyDescent="0.35">
      <c r="V284" s="2" t="s">
        <v>20</v>
      </c>
      <c r="W284" s="1" t="s">
        <v>6</v>
      </c>
    </row>
    <row r="285" spans="22:23" x14ac:dyDescent="0.35">
      <c r="V285" s="2" t="s">
        <v>19</v>
      </c>
      <c r="W285" s="1" t="s">
        <v>0</v>
      </c>
    </row>
    <row r="286" spans="22:23" x14ac:dyDescent="0.35">
      <c r="V286" s="2" t="s">
        <v>18</v>
      </c>
      <c r="W286" s="1" t="s">
        <v>0</v>
      </c>
    </row>
    <row r="287" spans="22:23" x14ac:dyDescent="0.35">
      <c r="V287" s="2" t="s">
        <v>17</v>
      </c>
      <c r="W287" s="1" t="s">
        <v>2</v>
      </c>
    </row>
    <row r="288" spans="22:23" x14ac:dyDescent="0.35">
      <c r="V288" s="2" t="s">
        <v>16</v>
      </c>
      <c r="W288" s="1" t="s">
        <v>2</v>
      </c>
    </row>
    <row r="289" spans="22:23" x14ac:dyDescent="0.35">
      <c r="V289" s="2" t="s">
        <v>15</v>
      </c>
      <c r="W289" s="1" t="s">
        <v>2</v>
      </c>
    </row>
    <row r="290" spans="22:23" x14ac:dyDescent="0.35">
      <c r="V290" s="2" t="s">
        <v>14</v>
      </c>
      <c r="W290" s="1" t="s">
        <v>2</v>
      </c>
    </row>
    <row r="291" spans="22:23" x14ac:dyDescent="0.35">
      <c r="V291" s="2" t="s">
        <v>13</v>
      </c>
      <c r="W291" s="1" t="s">
        <v>6</v>
      </c>
    </row>
    <row r="292" spans="22:23" x14ac:dyDescent="0.35">
      <c r="V292" s="2" t="s">
        <v>12</v>
      </c>
      <c r="W292" s="1" t="s">
        <v>0</v>
      </c>
    </row>
    <row r="293" spans="22:23" x14ac:dyDescent="0.35">
      <c r="V293" s="2" t="s">
        <v>11</v>
      </c>
      <c r="W293" s="1" t="s">
        <v>2</v>
      </c>
    </row>
    <row r="294" spans="22:23" x14ac:dyDescent="0.35">
      <c r="V294" s="2" t="s">
        <v>10</v>
      </c>
      <c r="W294" s="1" t="s">
        <v>6</v>
      </c>
    </row>
    <row r="295" spans="22:23" x14ac:dyDescent="0.35">
      <c r="V295" s="2" t="s">
        <v>9</v>
      </c>
      <c r="W295" s="1" t="s">
        <v>0</v>
      </c>
    </row>
    <row r="296" spans="22:23" x14ac:dyDescent="0.35">
      <c r="V296" s="2" t="s">
        <v>8</v>
      </c>
      <c r="W296" s="1" t="s">
        <v>2</v>
      </c>
    </row>
    <row r="297" spans="22:23" x14ac:dyDescent="0.35">
      <c r="V297" s="2" t="s">
        <v>7</v>
      </c>
      <c r="W297" s="1" t="s">
        <v>6</v>
      </c>
    </row>
    <row r="298" spans="22:23" x14ac:dyDescent="0.35">
      <c r="V298" s="2" t="s">
        <v>5</v>
      </c>
      <c r="W298" s="1" t="s">
        <v>2</v>
      </c>
    </row>
    <row r="299" spans="22:23" x14ac:dyDescent="0.35">
      <c r="V299" s="2" t="s">
        <v>4</v>
      </c>
      <c r="W299" s="1" t="s">
        <v>2</v>
      </c>
    </row>
    <row r="300" spans="22:23" x14ac:dyDescent="0.35">
      <c r="V300" s="2" t="s">
        <v>3</v>
      </c>
      <c r="W300" s="1" t="s">
        <v>2</v>
      </c>
    </row>
    <row r="301" spans="22:23" x14ac:dyDescent="0.35">
      <c r="V301" s="2" t="s">
        <v>1</v>
      </c>
      <c r="W301" s="1" t="s">
        <v>0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 Retail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Antonio</dc:creator>
  <cp:lastModifiedBy>Diana Antonio</cp:lastModifiedBy>
  <dcterms:created xsi:type="dcterms:W3CDTF">2026-06-04T17:28:58Z</dcterms:created>
  <dcterms:modified xsi:type="dcterms:W3CDTF">2026-06-04T17:29:12Z</dcterms:modified>
</cp:coreProperties>
</file>