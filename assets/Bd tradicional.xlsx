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onio\Downloads\"/>
    </mc:Choice>
  </mc:AlternateContent>
  <xr:revisionPtr revIDLastSave="0" documentId="8_{0B30C289-6380-4DC0-A68B-8DC931CD9C56}" xr6:coauthVersionLast="47" xr6:coauthVersionMax="47" xr10:uidLastSave="{00000000-0000-0000-0000-000000000000}"/>
  <bookViews>
    <workbookView xWindow="-110" yWindow="-110" windowWidth="19420" windowHeight="10300" xr2:uid="{9AF5ABB6-056E-4E06-B0D4-B076D5F1A03B}"/>
  </bookViews>
  <sheets>
    <sheet name="Bd tradiciona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0" i="1" l="1"/>
  <c r="Y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tc={69FFAFC3-CE1D-4A8D-BF74-E05E07354DB0}</author>
  </authors>
  <commentList>
    <comment ref="A38" authorId="0" shapeId="0" xr:uid="{69FFAFC3-CE1D-4A8D-BF74-E05E07354D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levanta completa y se entrega sin Gomas</t>
      </text>
    </comment>
  </commentList>
</comments>
</file>

<file path=xl/sharedStrings.xml><?xml version="1.0" encoding="utf-8"?>
<sst xmlns="http://schemas.openxmlformats.org/spreadsheetml/2006/main" count="1287" uniqueCount="447">
  <si>
    <t>TARIFARIO SERVICIO DE CAMPO CATEGORIA TRADICIONAL</t>
  </si>
  <si>
    <t>LEVANTAMIENTO DE CAMPO</t>
  </si>
  <si>
    <t>FILTROS_TR</t>
  </si>
  <si>
    <t>FACTOR_CIUDAD</t>
  </si>
  <si>
    <t>LISTADO COMERCIAL</t>
  </si>
  <si>
    <t>Tabla Para Actualizar Semestralmente - Es Resumen del Reconocimiento de la Venta</t>
  </si>
  <si>
    <t>Categoria</t>
  </si>
  <si>
    <t>Audit Consumo</t>
  </si>
  <si>
    <t>Audit Insumos</t>
  </si>
  <si>
    <t>Chequeo</t>
  </si>
  <si>
    <t>Exhibicion Lima</t>
  </si>
  <si>
    <t>Exhibicion Provincias</t>
  </si>
  <si>
    <t>Chequeo Insumos</t>
  </si>
  <si>
    <t>Check</t>
  </si>
  <si>
    <t>Llave</t>
  </si>
  <si>
    <t>Cliente</t>
  </si>
  <si>
    <t>CATEGORIA</t>
  </si>
  <si>
    <t>ESTUDIO</t>
  </si>
  <si>
    <t>FRECUENCIA</t>
  </si>
  <si>
    <t>Periodicidad</t>
  </si>
  <si>
    <t>VARIABLES</t>
  </si>
  <si>
    <t>Servicios</t>
  </si>
  <si>
    <t>Frecuencia</t>
  </si>
  <si>
    <t>Entrega</t>
  </si>
  <si>
    <t>Llave_Frecuencia_Entrega</t>
  </si>
  <si>
    <t>Factor</t>
  </si>
  <si>
    <t>CIUDAD</t>
  </si>
  <si>
    <t>FACTOR</t>
  </si>
  <si>
    <t>Tamaño  Cliente</t>
  </si>
  <si>
    <t>Duracion Contrato</t>
  </si>
  <si>
    <t>ID</t>
  </si>
  <si>
    <t>NOMBRES COMPLETOS</t>
  </si>
  <si>
    <t>DEPARTAMENTO</t>
  </si>
  <si>
    <t>GERENCIA</t>
  </si>
  <si>
    <t>JEFATURA</t>
  </si>
  <si>
    <t>RAZON SOCIAL</t>
  </si>
  <si>
    <t>STATUS</t>
  </si>
  <si>
    <t>Servicio Campo</t>
  </si>
  <si>
    <t>Lllave Estudio_Catgeoria</t>
  </si>
  <si>
    <t>Alcance</t>
  </si>
  <si>
    <t>Suma de Promedio</t>
  </si>
  <si>
    <t>Suma de Costo</t>
  </si>
  <si>
    <t>MarkUP</t>
  </si>
  <si>
    <t>Suma Ingreso</t>
  </si>
  <si>
    <t>Rentabilidad</t>
  </si>
  <si>
    <t>Margen Catgeoria</t>
  </si>
  <si>
    <t>Margen Cliente</t>
  </si>
  <si>
    <t>Aceites</t>
  </si>
  <si>
    <t>ACEITESAudit Consumo</t>
  </si>
  <si>
    <t>ACEITES</t>
  </si>
  <si>
    <t>BIMESTRAL</t>
  </si>
  <si>
    <t>Sistemático</t>
  </si>
  <si>
    <t>C</t>
  </si>
  <si>
    <t>Sistematico</t>
  </si>
  <si>
    <t>Mensual</t>
  </si>
  <si>
    <t>Sistematico_Mensual</t>
  </si>
  <si>
    <t>LIMA</t>
  </si>
  <si>
    <t>Pequeño</t>
  </si>
  <si>
    <t>1 Año</t>
  </si>
  <si>
    <t>Jesus Alejandro Lock Rivera</t>
  </si>
  <si>
    <t>Comercial</t>
  </si>
  <si>
    <t>Peru</t>
  </si>
  <si>
    <t>Lock</t>
  </si>
  <si>
    <t xml:space="preserve">Oficina </t>
  </si>
  <si>
    <t>AceitesAudit Consumo</t>
  </si>
  <si>
    <t>Alicorp Consumo</t>
  </si>
  <si>
    <t>Bimestral</t>
  </si>
  <si>
    <t>Lima+12</t>
  </si>
  <si>
    <t>Aceites Envasados</t>
  </si>
  <si>
    <t>BOCADITOSAudit Consumo</t>
  </si>
  <si>
    <t>BOCADITOS</t>
  </si>
  <si>
    <t>MENSUAL</t>
  </si>
  <si>
    <t>One Shot</t>
  </si>
  <si>
    <t>One Shot_Mensual</t>
  </si>
  <si>
    <t>AREQUIPA</t>
  </si>
  <si>
    <t>Mediano</t>
  </si>
  <si>
    <t>2 Año</t>
  </si>
  <si>
    <t>Patricia Cecilia Pellon Delgadillo de Chu</t>
  </si>
  <si>
    <t>IDE (CMP)</t>
  </si>
  <si>
    <t>Lima+3</t>
  </si>
  <si>
    <t>Aceites Industriales</t>
  </si>
  <si>
    <t>Back Data</t>
  </si>
  <si>
    <t>Trimestral</t>
  </si>
  <si>
    <t>Sistematico_Bimestral</t>
  </si>
  <si>
    <t>AYACUCHO</t>
  </si>
  <si>
    <t>Grande</t>
  </si>
  <si>
    <t>3 Año</t>
  </si>
  <si>
    <t>Vanessa Dineen Brown</t>
  </si>
  <si>
    <t>AguasAudit Consumo</t>
  </si>
  <si>
    <t>Gloria</t>
  </si>
  <si>
    <t>Lima+10</t>
  </si>
  <si>
    <t>Aguas</t>
  </si>
  <si>
    <t>CAFÉ Y SUCEDÁNEOSAudit Consumo</t>
  </si>
  <si>
    <t>CAFÉ Y SUCEDÁNEOS</t>
  </si>
  <si>
    <t>EXHIBICIÓN</t>
  </si>
  <si>
    <t>Cuatrimestral</t>
  </si>
  <si>
    <t>One Shot_Bimestral</t>
  </si>
  <si>
    <t>CAJAMARCA</t>
  </si>
  <si>
    <t>Líder</t>
  </si>
  <si>
    <t>Marcelo Hernandez Venegas</t>
  </si>
  <si>
    <t>BebiblesAudit Consumo</t>
  </si>
  <si>
    <t>Alimentos Infantiles</t>
  </si>
  <si>
    <t>CEREALESAudit Consumo</t>
  </si>
  <si>
    <t>CEREALES</t>
  </si>
  <si>
    <t>Semestral</t>
  </si>
  <si>
    <t>Back Data_1año</t>
  </si>
  <si>
    <t>CHICLAYO</t>
  </si>
  <si>
    <t>Luciano Andres Ugarte Grimaldo</t>
  </si>
  <si>
    <t>BocaditosAudit Consumo</t>
  </si>
  <si>
    <t>Lima+9</t>
  </si>
  <si>
    <t>Arroz</t>
  </si>
  <si>
    <t>CHOCOLATESAudit Consumo</t>
  </si>
  <si>
    <t>CHOCOLATES</t>
  </si>
  <si>
    <t>Back Data_2años</t>
  </si>
  <si>
    <t>CHIMBOTE</t>
  </si>
  <si>
    <t>Diego Manuel Enrique Vega Vasquez</t>
  </si>
  <si>
    <t>San Jorge</t>
  </si>
  <si>
    <t>Bebibles</t>
  </si>
  <si>
    <t>CONGELADOSAudit Consumo</t>
  </si>
  <si>
    <t>CONGELADOS</t>
  </si>
  <si>
    <t>C-I-P</t>
  </si>
  <si>
    <t>Back Data Audit Consumo</t>
  </si>
  <si>
    <t>2 Años</t>
  </si>
  <si>
    <t>One Shot_Trimestral</t>
  </si>
  <si>
    <t>CUSCO</t>
  </si>
  <si>
    <t>Yacole Serguei Condor Lujan</t>
  </si>
  <si>
    <t>Dichter &amp; Neira Peru SAC</t>
  </si>
  <si>
    <t>Café y SucedáneosAudit Consumo</t>
  </si>
  <si>
    <t>Altomayo</t>
  </si>
  <si>
    <t>Lima+7</t>
  </si>
  <si>
    <t>HAIR CAREAudit Consumo</t>
  </si>
  <si>
    <t>HAIR CARE</t>
  </si>
  <si>
    <t>I</t>
  </si>
  <si>
    <t>Back Data Audit Insumos</t>
  </si>
  <si>
    <t>One Shot_Cuatrimestral</t>
  </si>
  <si>
    <t>HUANCAYO</t>
  </si>
  <si>
    <t>Sayuri Arleth Renatta Ludena Roman</t>
  </si>
  <si>
    <t>Exportadora Romex</t>
  </si>
  <si>
    <t>Lima+11</t>
  </si>
  <si>
    <t>Bocaditos</t>
  </si>
  <si>
    <t>One Shot_Semestral</t>
  </si>
  <si>
    <t>HUANUCO</t>
  </si>
  <si>
    <t>Ingrid Melissa Garcia Giron</t>
  </si>
  <si>
    <t>Verdum</t>
  </si>
  <si>
    <t>Café y Sucedáneos</t>
  </si>
  <si>
    <t>DESODORANTESAudit Consumo</t>
  </si>
  <si>
    <t>DESODORANTES</t>
  </si>
  <si>
    <t>One Shot_Anual</t>
  </si>
  <si>
    <t>ICA</t>
  </si>
  <si>
    <t>Paloma Suarez Marmol</t>
  </si>
  <si>
    <t>Carne de PolloAudit Consumo</t>
  </si>
  <si>
    <t>San Fernando</t>
  </si>
  <si>
    <t>Lima</t>
  </si>
  <si>
    <t>Caldos</t>
  </si>
  <si>
    <t>DETERGENTESAudit Consumo</t>
  </si>
  <si>
    <t>DETERGENTES</t>
  </si>
  <si>
    <t>IQUITOS</t>
  </si>
  <si>
    <t>Luciano Arturo Martinez Libert</t>
  </si>
  <si>
    <t>CerealesAudit Consumo</t>
  </si>
  <si>
    <t>Caldos Y Sazonadores</t>
  </si>
  <si>
    <t>EMBUTIDOSAudit Consumo</t>
  </si>
  <si>
    <t>EMBUTIDOS</t>
  </si>
  <si>
    <t>NORTE CHICO</t>
  </si>
  <si>
    <t>Natalia Monica Gutierrez Torres</t>
  </si>
  <si>
    <t>Coberturas y Chispas de ChocolateAudit Consumo</t>
  </si>
  <si>
    <t>Shot</t>
  </si>
  <si>
    <t>Carne de Pollo</t>
  </si>
  <si>
    <t>FIDEOSAudit Consumo</t>
  </si>
  <si>
    <t>FIDEOS</t>
  </si>
  <si>
    <t>PIURA</t>
  </si>
  <si>
    <t>Carlos Alberto Yllescas Oliveros</t>
  </si>
  <si>
    <t>Servicios de Campo Peru SAC</t>
  </si>
  <si>
    <t>CongeladosAudit Consumo</t>
  </si>
  <si>
    <t>Cereales</t>
  </si>
  <si>
    <t>GALLETASAudit Consumo</t>
  </si>
  <si>
    <t>GALLETAS</t>
  </si>
  <si>
    <t>PUCALLPA</t>
  </si>
  <si>
    <t>Rebeca Gonzales Zegarra</t>
  </si>
  <si>
    <t>DesodorantesAudit Consumo</t>
  </si>
  <si>
    <t>Unilever</t>
  </si>
  <si>
    <t>Lima+2</t>
  </si>
  <si>
    <t>Chocolates</t>
  </si>
  <si>
    <t>GOLOSINASAudit Consumo</t>
  </si>
  <si>
    <t>GOLOSINAS</t>
  </si>
  <si>
    <t>SUR CHICO</t>
  </si>
  <si>
    <t>Gracia Liz Paloma Vasquez Miranda</t>
  </si>
  <si>
    <t>EmbutidosAudit Consumo</t>
  </si>
  <si>
    <t>Coberturas Y Chispas De Chocolate</t>
  </si>
  <si>
    <t>HUEVOSAudit Consumo</t>
  </si>
  <si>
    <t>HUEVOS</t>
  </si>
  <si>
    <t>TACNA</t>
  </si>
  <si>
    <t>Rodrigo Agusto Merino Erazo</t>
  </si>
  <si>
    <t>Corporacion Rico</t>
  </si>
  <si>
    <t>2provincias</t>
  </si>
  <si>
    <t>COMIDAS INSTANTANEAS</t>
  </si>
  <si>
    <t>JABÓN DE LAVARAudit Consumo</t>
  </si>
  <si>
    <t>JABÓN DE LAVAR</t>
  </si>
  <si>
    <t>TARAPOTO</t>
  </si>
  <si>
    <t>Franz Marco Rodriguez Vasquez</t>
  </si>
  <si>
    <t>Ticay</t>
  </si>
  <si>
    <t>Congelados</t>
  </si>
  <si>
    <t>LECHESAudit Consumo</t>
  </si>
  <si>
    <t>LECHES</t>
  </si>
  <si>
    <t>TRUJILLO</t>
  </si>
  <si>
    <t>Diana Valeria Fernandez Espinoza</t>
  </si>
  <si>
    <t>Redondos</t>
  </si>
  <si>
    <t>Conservas</t>
  </si>
  <si>
    <t>MARGARINAS Y MANTEQUILLASAudit Consumo</t>
  </si>
  <si>
    <t>MARGARINAS Y MANTEQUILLAS</t>
  </si>
  <si>
    <t>PUNO</t>
  </si>
  <si>
    <t>Ana Karina Chavez Rodriguez</t>
  </si>
  <si>
    <t>Westphalia Alimentos</t>
  </si>
  <si>
    <t>Conservas de Pescado</t>
  </si>
  <si>
    <t>PETFOODAudit Consumo</t>
  </si>
  <si>
    <t>PETFOOD</t>
  </si>
  <si>
    <t>JULIACA</t>
  </si>
  <si>
    <t>Miguel Angel Mucha Sarmiento</t>
  </si>
  <si>
    <t>FideosAudit Consumo</t>
  </si>
  <si>
    <t>Crema de Chantilly</t>
  </si>
  <si>
    <t>QUESOSAudit Consumo</t>
  </si>
  <si>
    <t>QUESOS</t>
  </si>
  <si>
    <t>SUR CHICO (AUDIT)</t>
  </si>
  <si>
    <t>Gabriela Galvez Noel</t>
  </si>
  <si>
    <t>Dentales</t>
  </si>
  <si>
    <t>QUITAMANCHASAudit Consumo</t>
  </si>
  <si>
    <t>QUITAMANCHAS</t>
  </si>
  <si>
    <t>SULLANA</t>
  </si>
  <si>
    <t>Jose Luis Alejandro Quezada Navarro</t>
  </si>
  <si>
    <t>GalletasAudit Consumo</t>
  </si>
  <si>
    <t>Desodorantes</t>
  </si>
  <si>
    <t>SALSAS FRÍASAudit Consumo</t>
  </si>
  <si>
    <t>SALSAS FRÍAS</t>
  </si>
  <si>
    <t>TUMBES</t>
  </si>
  <si>
    <t>Nathaly Meise Sanchez Vilcarromero</t>
  </si>
  <si>
    <t>Detergentes</t>
  </si>
  <si>
    <t>SUAVIZANTESAudit Consumo</t>
  </si>
  <si>
    <t>SUAVIZANTES</t>
  </si>
  <si>
    <t>MOQUEGUA</t>
  </si>
  <si>
    <t>Miguel Rengifo Rivera</t>
  </si>
  <si>
    <t>DICHTER &amp; NEIRA PERU SAC</t>
  </si>
  <si>
    <t>GolosinasAudit Consumo</t>
  </si>
  <si>
    <t>Super Alimentos</t>
  </si>
  <si>
    <t>Detergentes Adic</t>
  </si>
  <si>
    <t>YOGURTAudit Consumo</t>
  </si>
  <si>
    <t>YOGURT</t>
  </si>
  <si>
    <t>PAITA</t>
  </si>
  <si>
    <t>Mateo Trapunsky Vera</t>
  </si>
  <si>
    <t>Hair CareAudit Consumo</t>
  </si>
  <si>
    <t>Embutidos</t>
  </si>
  <si>
    <t>ACEITES INDUSTRIALESAudit Insumos</t>
  </si>
  <si>
    <t>ACEITES INDUSTRIALES</t>
  </si>
  <si>
    <t>Maria Jose Ortega Uribe</t>
  </si>
  <si>
    <t>Encuesta Bodegas</t>
  </si>
  <si>
    <t>CARNE DE POLLOAudit Insumos</t>
  </si>
  <si>
    <t>CARNE DE POLLO</t>
  </si>
  <si>
    <t>TODAS</t>
  </si>
  <si>
    <t>Xoann Kahre Carreras Machiavello</t>
  </si>
  <si>
    <t>Energizantes</t>
  </si>
  <si>
    <t>COBERTURAS Y CHISPAS DE CHOCOLATEAudit Insumos</t>
  </si>
  <si>
    <t>COBERTURAS Y CHISPAS DE CHOCOLATE</t>
  </si>
  <si>
    <t>Maria Alejandra Cuadros Espejo</t>
  </si>
  <si>
    <t>Jabón de LavarAudit Consumo</t>
  </si>
  <si>
    <t>Quala</t>
  </si>
  <si>
    <t>Fideos</t>
  </si>
  <si>
    <t>DETERGENTESAudit Insumos</t>
  </si>
  <si>
    <t xml:space="preserve">Romina Canales </t>
  </si>
  <si>
    <t>FS-PREGUNTAS VARIAS BONIF</t>
  </si>
  <si>
    <t>FS-PREGUNTAS VARIAS BONIFAudit Insumos</t>
  </si>
  <si>
    <t>Q</t>
  </si>
  <si>
    <t xml:space="preserve">Fernando Matos </t>
  </si>
  <si>
    <t>LechesAudit Consumo</t>
  </si>
  <si>
    <t>Fudge</t>
  </si>
  <si>
    <t>HARINAS INDUSTRIALESAudit Insumos</t>
  </si>
  <si>
    <t>HARINAS INDUSTRIALES</t>
  </si>
  <si>
    <t>Rolando Calderón</t>
  </si>
  <si>
    <t>Margarinas y MantequillasAudit Consumo</t>
  </si>
  <si>
    <t>Galletas</t>
  </si>
  <si>
    <t>LIMPIADORESAudit Insumos</t>
  </si>
  <si>
    <t>LIMPIADORES</t>
  </si>
  <si>
    <t>Andrea Alencastre</t>
  </si>
  <si>
    <t>QuesosAudit Consumo</t>
  </si>
  <si>
    <t>Gaseosas</t>
  </si>
  <si>
    <t>MANJAR BLANCOAudit Insumos</t>
  </si>
  <si>
    <t>MANJAR BLANCO</t>
  </si>
  <si>
    <t>Lu Jara</t>
  </si>
  <si>
    <t>QuitamanchasAudit Consumo</t>
  </si>
  <si>
    <t>Reckitt Benckiser Home</t>
  </si>
  <si>
    <t>Golosinas</t>
  </si>
  <si>
    <t>MANTECAS INDUSTRIALESAudit Insumos</t>
  </si>
  <si>
    <t>MANTECAS INDUSTRIALES</t>
  </si>
  <si>
    <t>SalAudit Consumo</t>
  </si>
  <si>
    <t>Quimpac</t>
  </si>
  <si>
    <t>Lima+5</t>
  </si>
  <si>
    <t>Hair Care</t>
  </si>
  <si>
    <t>MARGARINAS INDUSTRIALESAudit Insumos</t>
  </si>
  <si>
    <t>MARGARINAS INDUSTRIALES</t>
  </si>
  <si>
    <t>Salsas FríasAudit Consumo</t>
  </si>
  <si>
    <t>Harinas Industriales</t>
  </si>
  <si>
    <t>PANI-PREGUNTAS VARIAS BONIFAudit Insumos</t>
  </si>
  <si>
    <t>PANI-PREGUNTAS VARIAS BONIF</t>
  </si>
  <si>
    <t>YogurtAudit Consumo</t>
  </si>
  <si>
    <t>Helados</t>
  </si>
  <si>
    <t>PREMEZCLASAudit Insumos</t>
  </si>
  <si>
    <t>PREMEZCLAS</t>
  </si>
  <si>
    <t>Total Audit Consumo</t>
  </si>
  <si>
    <t>Huevos</t>
  </si>
  <si>
    <t>SALSAS FRÍAS INDUSTRIALESAudit Insumos</t>
  </si>
  <si>
    <t>SALSAS FRÍAS INDUSTRIALES</t>
  </si>
  <si>
    <t>Audit Insumo</t>
  </si>
  <si>
    <t>Aceites IndustrialesAudit Insumos</t>
  </si>
  <si>
    <t>Alicorp B2B</t>
  </si>
  <si>
    <t>Insecticidas</t>
  </si>
  <si>
    <t>ALICORP-LIMA +9Check</t>
  </si>
  <si>
    <t>ALICORP-LIMA +9</t>
  </si>
  <si>
    <t>P</t>
  </si>
  <si>
    <t>Detergentes FSAudit Insumos</t>
  </si>
  <si>
    <t>Isotonicas</t>
  </si>
  <si>
    <t>Varios SKUS BodegasCheck</t>
  </si>
  <si>
    <t>Varios SKUS Bodegas</t>
  </si>
  <si>
    <t>Detergentes HotelesAudit Insumos</t>
  </si>
  <si>
    <t>Jabón de Lavar</t>
  </si>
  <si>
    <t>Varios SKUS Puestos de MercadoCheck</t>
  </si>
  <si>
    <t>Varios SKUS Puestos de Mercado</t>
  </si>
  <si>
    <t>FideosAudit Insumos</t>
  </si>
  <si>
    <t>Jabón de Tocador</t>
  </si>
  <si>
    <t>CONSERVASChequeo</t>
  </si>
  <si>
    <t>CONSERVAS</t>
  </si>
  <si>
    <t>Harinas IndustrialesAudit Insumos</t>
  </si>
  <si>
    <t>Jugos Y Néctar</t>
  </si>
  <si>
    <t>DENTALESChequeo</t>
  </si>
  <si>
    <t>DENTALES</t>
  </si>
  <si>
    <t>LimpiadoresAudit Insumos</t>
  </si>
  <si>
    <t>Lavavajillas</t>
  </si>
  <si>
    <t>JABÓN DE TOCADORChequeo</t>
  </si>
  <si>
    <t>JABÓN DE TOCADOR</t>
  </si>
  <si>
    <t>Manjar BlancoAudit Insumos</t>
  </si>
  <si>
    <t>Leche Condensada</t>
  </si>
  <si>
    <t>LAVAVAJILLASChequeo</t>
  </si>
  <si>
    <t>LAVAVAJILLAS</t>
  </si>
  <si>
    <t>Mantecas IndustrialesAudit Insumos</t>
  </si>
  <si>
    <t>Leches</t>
  </si>
  <si>
    <t>LEJÍASChequeo</t>
  </si>
  <si>
    <t>LEJÍAS</t>
  </si>
  <si>
    <t>Margarinas IndustrialesAudit Insumos</t>
  </si>
  <si>
    <t>Lima+6</t>
  </si>
  <si>
    <t>Leches Condensadas</t>
  </si>
  <si>
    <t>LIMPIADORESChequeo</t>
  </si>
  <si>
    <t>PremezclasAudit Insumos</t>
  </si>
  <si>
    <t>Leches Culinarias</t>
  </si>
  <si>
    <t>MARGARINAS Y MANTEQUILLASChequeo</t>
  </si>
  <si>
    <t>Salsas Frías IndustrialesAudit Insumos</t>
  </si>
  <si>
    <t>Leches Evaporadas + Polvo</t>
  </si>
  <si>
    <t>POSTRESChequeo</t>
  </si>
  <si>
    <t>POSTRES</t>
  </si>
  <si>
    <t>Total Audit Insumo</t>
  </si>
  <si>
    <t>Lejías</t>
  </si>
  <si>
    <t>COBERTURAS Y CHISPAS DE CHOCOLATEChequeo Insumos</t>
  </si>
  <si>
    <t>Chequeo de Dist. &amp; Precio</t>
  </si>
  <si>
    <t>ChantillyChequeo</t>
  </si>
  <si>
    <t>Limpiadores</t>
  </si>
  <si>
    <t>ENCUESTA BODEGASEncuesta</t>
  </si>
  <si>
    <t>ENCUESTA BODEGAS</t>
  </si>
  <si>
    <t>Encuesta</t>
  </si>
  <si>
    <t>Coberturas y Chispas de ChocolateChequeo</t>
  </si>
  <si>
    <t>Manjar Blanco</t>
  </si>
  <si>
    <t>AGUASAudit Consumo</t>
  </si>
  <si>
    <t>AGUAS</t>
  </si>
  <si>
    <t>CoberturasChequeo</t>
  </si>
  <si>
    <t>Mantecas Industriales</t>
  </si>
  <si>
    <t>BEBIBLESAudit Consumo</t>
  </si>
  <si>
    <t>BEBIBLES</t>
  </si>
  <si>
    <t>Comidas InstantáneasChequeo</t>
  </si>
  <si>
    <t>Ajinomoto</t>
  </si>
  <si>
    <t>Maquinas de Afeitar + Repuestos</t>
  </si>
  <si>
    <t>DETERGENTES ADICAudit Consumo</t>
  </si>
  <si>
    <t>DETERGENTES ADIC</t>
  </si>
  <si>
    <t>ConservasChequeo</t>
  </si>
  <si>
    <t>Margarinas Industriales</t>
  </si>
  <si>
    <t>CAFÉ Y SUCEDÁNEOSExhibición Lima</t>
  </si>
  <si>
    <t>Exhibición Lima</t>
  </si>
  <si>
    <t>DentalesChequeo</t>
  </si>
  <si>
    <t>Margarinas y Mantequillas</t>
  </si>
  <si>
    <t>CEREALESExhibición Lima</t>
  </si>
  <si>
    <t>DetergentesChequeo</t>
  </si>
  <si>
    <t>Mayonesas</t>
  </si>
  <si>
    <t>CHOCOLATESExhibición Lima</t>
  </si>
  <si>
    <t>FudgeChequeo</t>
  </si>
  <si>
    <t>Mermelada</t>
  </si>
  <si>
    <t>HELADOSExhibición Lima</t>
  </si>
  <si>
    <t>HELADOS</t>
  </si>
  <si>
    <t>GolosinasChequeo</t>
  </si>
  <si>
    <t>Mermeladas</t>
  </si>
  <si>
    <t>LECHESExhibición Lima</t>
  </si>
  <si>
    <t>Harinas (Reposteras)Chequeo</t>
  </si>
  <si>
    <t>Modificadores</t>
  </si>
  <si>
    <t>MODIFICADORES Y COCOASExhibición Lima</t>
  </si>
  <si>
    <t>MODIFICADORES Y COCOAS</t>
  </si>
  <si>
    <t>Jabón de tocadorChequeo</t>
  </si>
  <si>
    <t>Modificadores Y Cocoas</t>
  </si>
  <si>
    <t>LavavajillasChequeo</t>
  </si>
  <si>
    <t>Panes Industriales (inc Tostadas y Rapiditas)</t>
  </si>
  <si>
    <t>LejíasChequeo</t>
  </si>
  <si>
    <t>Panetones</t>
  </si>
  <si>
    <t>LimpiadoresChequeo</t>
  </si>
  <si>
    <t>Margarinas (Reposteras)Chequeo</t>
  </si>
  <si>
    <t>Pañal Bebes</t>
  </si>
  <si>
    <t>Margarinas y MantequillasChequeo</t>
  </si>
  <si>
    <t>Papel Higienico</t>
  </si>
  <si>
    <t>PostresChequeo</t>
  </si>
  <si>
    <t>Papel Toalla</t>
  </si>
  <si>
    <t>COMIDAS INSTANTANEASChequeo</t>
  </si>
  <si>
    <t>SuavizantesChequeo</t>
  </si>
  <si>
    <t>Petfood</t>
  </si>
  <si>
    <t>GOLOSINASCheck</t>
  </si>
  <si>
    <t>Total Chequeo de Dist. &amp; Precio</t>
  </si>
  <si>
    <t>Postres</t>
  </si>
  <si>
    <t>ALICORP-LIMA +6Check</t>
  </si>
  <si>
    <t>ALICORP-LIMA +6</t>
  </si>
  <si>
    <t>VariosSKUSBodegasyPMChequeo</t>
  </si>
  <si>
    <t>Premezclas</t>
  </si>
  <si>
    <t>VariosSkusLindleyCequeo</t>
  </si>
  <si>
    <t>Lindley</t>
  </si>
  <si>
    <t>Proteccion Femenina</t>
  </si>
  <si>
    <t>Total Check</t>
  </si>
  <si>
    <t>Quesos</t>
  </si>
  <si>
    <t>Exhibición (Share of Shelf)</t>
  </si>
  <si>
    <t>Café y SucedáneosExhibición</t>
  </si>
  <si>
    <t>Nestle</t>
  </si>
  <si>
    <t>Quitamanchas</t>
  </si>
  <si>
    <t>CerealesExhibición</t>
  </si>
  <si>
    <t>Refrescos</t>
  </si>
  <si>
    <t>ChocolatesExhibición</t>
  </si>
  <si>
    <t>Refrescos en Polvo</t>
  </si>
  <si>
    <t>HeladosExhibición</t>
  </si>
  <si>
    <t>Ron y Pisco</t>
  </si>
  <si>
    <t>Leches Evaporadas + PolvoExhibición</t>
  </si>
  <si>
    <t>Rtd</t>
  </si>
  <si>
    <t>Modificadores y CocoasExhibición</t>
  </si>
  <si>
    <t>Sal</t>
  </si>
  <si>
    <t>Total Exhibición (Share of Shelf)</t>
  </si>
  <si>
    <t>Salsas Frías</t>
  </si>
  <si>
    <t>Salsas Frías Industriales</t>
  </si>
  <si>
    <t>Shampoo</t>
  </si>
  <si>
    <t>Suavizantes</t>
  </si>
  <si>
    <t>Varios Skus Bodegas</t>
  </si>
  <si>
    <t>Varios Skus Puestos De Mercado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</si>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</sst>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Verdana"/>
      <family val="2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theme="1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499984740745262"/>
        <bgColor theme="4" tint="0.79998168889431442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3" tint="-0.25098422193060094"/>
        </stop>
        <stop position="1">
          <color theme="1" tint="5.0965910824915313E-2"/>
        </stop>
      </gradient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3" fontId="2" fillId="13" borderId="15">
      <alignment horizontal="center" vertical="center"/>
    </xf>
    <xf numFmtId="0" fontId="12" fillId="0" borderId="0"/>
  </cellStyleXfs>
  <cellXfs count="72">
    <xf numFmtId="0" fontId="0" fillId="0" borderId="0" xfId="0"/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vertical="center"/>
    </xf>
    <xf numFmtId="0" fontId="2" fillId="3" borderId="4" xfId="0" applyFont="1" applyFill="1" applyBorder="1"/>
    <xf numFmtId="0" fontId="4" fillId="3" borderId="0" xfId="0" applyFont="1" applyFill="1"/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4" borderId="7" xfId="0" applyFont="1" applyFill="1" applyBorder="1"/>
    <xf numFmtId="0" fontId="2" fillId="5" borderId="7" xfId="0" applyFont="1" applyFill="1" applyBorder="1" applyAlignment="1">
      <alignment horizontal="center"/>
    </xf>
    <xf numFmtId="43" fontId="2" fillId="5" borderId="7" xfId="1" applyFont="1" applyFill="1" applyBorder="1" applyAlignment="1" applyProtection="1">
      <alignment horizontal="center"/>
    </xf>
    <xf numFmtId="9" fontId="2" fillId="5" borderId="7" xfId="2" applyFont="1" applyFill="1" applyBorder="1" applyAlignment="1" applyProtection="1">
      <alignment horizontal="center"/>
    </xf>
    <xf numFmtId="43" fontId="0" fillId="0" borderId="0" xfId="1" applyFont="1" applyProtection="1"/>
    <xf numFmtId="0" fontId="4" fillId="0" borderId="3" xfId="0" applyFont="1" applyBorder="1"/>
    <xf numFmtId="0" fontId="2" fillId="6" borderId="0" xfId="0" applyFont="1" applyFill="1"/>
    <xf numFmtId="0" fontId="7" fillId="7" borderId="8" xfId="3" applyFont="1" applyFill="1" applyBorder="1"/>
    <xf numFmtId="0" fontId="8" fillId="8" borderId="1" xfId="0" applyFont="1" applyFill="1" applyBorder="1"/>
    <xf numFmtId="164" fontId="9" fillId="0" borderId="9" xfId="0" applyNumberFormat="1" applyFont="1" applyBorder="1" applyAlignment="1">
      <alignment horizontal="center"/>
    </xf>
    <xf numFmtId="0" fontId="4" fillId="7" borderId="10" xfId="0" applyFont="1" applyFill="1" applyBorder="1"/>
    <xf numFmtId="0" fontId="0" fillId="7" borderId="10" xfId="0" applyFill="1" applyBorder="1"/>
    <xf numFmtId="43" fontId="0" fillId="7" borderId="10" xfId="0" applyNumberFormat="1" applyFill="1" applyBorder="1"/>
    <xf numFmtId="10" fontId="0" fillId="7" borderId="10" xfId="0" applyNumberFormat="1" applyFill="1" applyBorder="1"/>
    <xf numFmtId="10" fontId="0" fillId="7" borderId="10" xfId="2" applyNumberFormat="1" applyFont="1" applyFill="1" applyBorder="1" applyProtection="1"/>
    <xf numFmtId="9" fontId="0" fillId="7" borderId="10" xfId="2" applyFont="1" applyFill="1" applyBorder="1" applyProtection="1"/>
    <xf numFmtId="0" fontId="10" fillId="0" borderId="3" xfId="0" applyFont="1" applyBorder="1"/>
    <xf numFmtId="0" fontId="7" fillId="0" borderId="8" xfId="3" applyFont="1" applyBorder="1"/>
    <xf numFmtId="0" fontId="4" fillId="0" borderId="10" xfId="0" applyFont="1" applyBorder="1"/>
    <xf numFmtId="0" fontId="0" fillId="0" borderId="10" xfId="0" applyBorder="1"/>
    <xf numFmtId="43" fontId="0" fillId="0" borderId="10" xfId="0" applyNumberFormat="1" applyBorder="1"/>
    <xf numFmtId="10" fontId="0" fillId="0" borderId="10" xfId="0" applyNumberFormat="1" applyBorder="1"/>
    <xf numFmtId="10" fontId="0" fillId="0" borderId="10" xfId="2" applyNumberFormat="1" applyFont="1" applyBorder="1" applyProtection="1"/>
    <xf numFmtId="9" fontId="0" fillId="0" borderId="10" xfId="2" applyFont="1" applyBorder="1" applyProtection="1"/>
    <xf numFmtId="0" fontId="11" fillId="8" borderId="1" xfId="0" applyFont="1" applyFill="1" applyBorder="1"/>
    <xf numFmtId="164" fontId="10" fillId="0" borderId="9" xfId="0" applyNumberFormat="1" applyFont="1" applyBorder="1" applyAlignment="1">
      <alignment horizontal="center"/>
    </xf>
    <xf numFmtId="0" fontId="7" fillId="0" borderId="11" xfId="3" applyFont="1" applyBorder="1"/>
    <xf numFmtId="43" fontId="0" fillId="0" borderId="10" xfId="1" applyFont="1" applyBorder="1" applyProtection="1"/>
    <xf numFmtId="0" fontId="0" fillId="9" borderId="0" xfId="0" applyFill="1"/>
    <xf numFmtId="43" fontId="0" fillId="7" borderId="10" xfId="1" applyFont="1" applyFill="1" applyBorder="1" applyProtection="1"/>
    <xf numFmtId="0" fontId="0" fillId="0" borderId="12" xfId="0" applyBorder="1"/>
    <xf numFmtId="43" fontId="10" fillId="10" borderId="0" xfId="1" applyFont="1" applyFill="1" applyProtection="1"/>
    <xf numFmtId="0" fontId="0" fillId="11" borderId="10" xfId="0" applyFill="1" applyBorder="1"/>
    <xf numFmtId="0" fontId="0" fillId="11" borderId="0" xfId="0" applyFill="1"/>
    <xf numFmtId="0" fontId="5" fillId="6" borderId="0" xfId="0" applyFont="1" applyFill="1"/>
    <xf numFmtId="43" fontId="0" fillId="6" borderId="0" xfId="1" applyFont="1" applyFill="1" applyProtection="1"/>
    <xf numFmtId="0" fontId="3" fillId="0" borderId="0" xfId="0" applyFont="1"/>
    <xf numFmtId="164" fontId="2" fillId="6" borderId="13" xfId="0" applyNumberFormat="1" applyFont="1" applyFill="1" applyBorder="1" applyAlignment="1">
      <alignment horizontal="center"/>
    </xf>
    <xf numFmtId="0" fontId="6" fillId="6" borderId="0" xfId="0" applyFont="1" applyFill="1"/>
    <xf numFmtId="43" fontId="5" fillId="6" borderId="0" xfId="1" applyFont="1" applyFill="1" applyProtection="1"/>
    <xf numFmtId="0" fontId="2" fillId="6" borderId="10" xfId="0" applyFont="1" applyFill="1" applyBorder="1"/>
    <xf numFmtId="43" fontId="0" fillId="12" borderId="10" xfId="0" applyNumberFormat="1" applyFill="1" applyBorder="1"/>
    <xf numFmtId="0" fontId="0" fillId="10" borderId="0" xfId="0" applyFill="1"/>
    <xf numFmtId="43" fontId="0" fillId="10" borderId="0" xfId="1" applyFont="1" applyFill="1" applyProtection="1"/>
    <xf numFmtId="0" fontId="2" fillId="6" borderId="3" xfId="0" applyFont="1" applyFill="1" applyBorder="1"/>
    <xf numFmtId="0" fontId="4" fillId="7" borderId="14" xfId="0" applyFont="1" applyFill="1" applyBorder="1"/>
    <xf numFmtId="43" fontId="4" fillId="7" borderId="14" xfId="0" applyNumberFormat="1" applyFont="1" applyFill="1" applyBorder="1"/>
    <xf numFmtId="10" fontId="4" fillId="7" borderId="14" xfId="0" applyNumberFormat="1" applyFont="1" applyFill="1" applyBorder="1"/>
    <xf numFmtId="9" fontId="4" fillId="7" borderId="10" xfId="2" applyFont="1" applyFill="1" applyBorder="1" applyProtection="1"/>
    <xf numFmtId="43" fontId="0" fillId="11" borderId="10" xfId="0" applyNumberFormat="1" applyFill="1" applyBorder="1"/>
    <xf numFmtId="43" fontId="3" fillId="0" borderId="10" xfId="0" applyNumberFormat="1" applyFont="1" applyBorder="1"/>
    <xf numFmtId="43" fontId="3" fillId="7" borderId="10" xfId="0" applyNumberFormat="1" applyFont="1" applyFill="1" applyBorder="1"/>
    <xf numFmtId="0" fontId="4" fillId="0" borderId="14" xfId="0" applyFont="1" applyBorder="1"/>
    <xf numFmtId="43" fontId="4" fillId="0" borderId="14" xfId="0" applyNumberFormat="1" applyFont="1" applyBorder="1"/>
    <xf numFmtId="43" fontId="4" fillId="12" borderId="14" xfId="0" applyNumberFormat="1" applyFont="1" applyFill="1" applyBorder="1"/>
    <xf numFmtId="10" fontId="4" fillId="0" borderId="14" xfId="0" applyNumberFormat="1" applyFont="1" applyBorder="1"/>
    <xf numFmtId="43" fontId="4" fillId="0" borderId="10" xfId="2" applyNumberFormat="1" applyFont="1" applyBorder="1" applyProtection="1"/>
    <xf numFmtId="10" fontId="4" fillId="0" borderId="14" xfId="2" applyNumberFormat="1" applyFont="1" applyBorder="1" applyProtection="1"/>
    <xf numFmtId="9" fontId="4" fillId="0" borderId="10" xfId="2" applyFont="1" applyBorder="1" applyProtection="1"/>
    <xf numFmtId="43" fontId="0" fillId="0" borderId="0" xfId="1" applyFont="1"/>
  </cellXfs>
  <cellStyles count="6">
    <cellStyle name="Azul" xfId="4" xr:uid="{CCD0B1B4-37EF-46C5-B2CB-A064788C48F4}"/>
    <cellStyle name="Millares" xfId="1" builtinId="3"/>
    <cellStyle name="Normal" xfId="0" builtinId="0"/>
    <cellStyle name="Normal 2" xfId="3" xr:uid="{BC78327B-91B7-4800-BDEB-A24AD5EB822F}"/>
    <cellStyle name="Normal 2 2" xfId="5" xr:uid="{CA54A273-E25D-4E69-9B17-AA2FFF612772}"/>
    <cellStyle name="Porcentaje" xfId="2" builtinId="5"/>
  </cellStyles>
  <dxfs count="59">
    <dxf>
      <protection locked="1"/>
    </dxf>
    <dxf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/>
    </dxf>
    <dxf>
      <protection locked="1"/>
    </dxf>
    <dxf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/>
    </dxf>
    <dxf>
      <protection locked="1"/>
    </dxf>
    <dxf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border diagonalUp="0" diagonalDown="0">
        <left/>
        <right/>
        <top/>
        <bottom style="thin">
          <color theme="0" tint="-0.34998626667073579"/>
        </bottom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protection locked="1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protection locked="1"/>
    </dxf>
    <dxf>
      <protection locked="1"/>
    </dxf>
    <dxf>
      <protection locked="1"/>
    </dxf>
    <dxf>
      <protection locked="1"/>
    </dxf>
    <dxf>
      <protection locked="1"/>
    </dxf>
    <dxf>
      <numFmt numFmtId="14" formatCode="0.0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protection locked="1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5" tint="-0.249977111117893"/>
        </patternFill>
      </fill>
      <alignment horizontal="center" vertical="bottom" textRotation="0" wrapText="0" indent="0" justifyLastLine="0" shrinkToFit="0" readingOrder="0"/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#,##0.0"/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1"/>
    </dxf>
    <dxf>
      <protection locked="1"/>
    </dxf>
    <dxf>
      <border outline="0">
        <right style="thin">
          <color indexed="64"/>
        </right>
        <top style="thin">
          <color indexed="64"/>
        </top>
      </border>
    </dxf>
    <dxf>
      <protection locked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Fernando Suarez" id="{767FE05F-27B5-42AC-A382-3F808F042A90}" userId="S::lusuarez@dichter-neira.com::33e720bb-719e-47d8-b8f8-1eeb01a5ca5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772AA9-2E9E-4FF4-ACB1-3EC4AB0F85DA}" name="Factor_Ciudades" displayName="Factor_Ciudades" ref="AA4:AB29" totalsRowShown="0" headerRowDxfId="58" dataDxfId="56" headerRowBorderDxfId="57" tableBorderDxfId="55">
  <autoFilter ref="AA4:AB29" xr:uid="{5E772AA9-2E9E-4FF4-ACB1-3EC4AB0F85DA}"/>
  <tableColumns count="2">
    <tableColumn id="1" xr3:uid="{2B65912B-3213-4881-A0E6-942D017113D1}" name="CIUDAD" dataDxfId="54"/>
    <tableColumn id="2" xr3:uid="{3F37D2F7-4653-4C55-905F-7B323DD720B4}" name="FACTOR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BA85C1-E45E-4230-937C-420C4A39DF94}" name="Equipo_Comercial" displayName="Equipo_Comercial" ref="AH4:AN37" totalsRowShown="0" headerRowDxfId="52" dataDxfId="51">
  <autoFilter ref="AH4:AN37" xr:uid="{7BBA85C1-E45E-4230-937C-420C4A39DF94}"/>
  <tableColumns count="7">
    <tableColumn id="1" xr3:uid="{D3216F4B-2CF7-40D1-BC8D-45314873C43D}" name="ID" dataDxfId="50"/>
    <tableColumn id="2" xr3:uid="{2CA186DF-CC5F-422A-9609-51ADBCA5964A}" name="NOMBRES COMPLETOS" dataDxfId="49"/>
    <tableColumn id="3" xr3:uid="{CBE25B1F-59BA-4066-9C87-790FDD770855}" name="DEPARTAMENTO" dataDxfId="48"/>
    <tableColumn id="4" xr3:uid="{A7D75357-94CA-49B9-AF0F-345B344B2538}" name="GERENCIA" dataDxfId="47"/>
    <tableColumn id="5" xr3:uid="{202B2D6C-2D8F-4156-A01B-8A4D9B0D5BA9}" name="JEFATURA" dataDxfId="46"/>
    <tableColumn id="6" xr3:uid="{41773CA8-4AA8-4BFC-8417-D1D27A644133}" name="RAZON SOCIAL" dataDxfId="45"/>
    <tableColumn id="7" xr3:uid="{69771A1F-DDF1-44E0-BC8C-E640289A0E34}" name="STATUS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D856AB-4FCE-4F72-9EA9-B4D46FD48D43}" name="Tabla_ReconocimientoVta_TR" displayName="Tabla_ReconocimientoVta_TR" ref="AP4:BB82" totalsRowShown="0" headerRowDxfId="43" dataDxfId="41" headerRowBorderDxfId="42" tableBorderDxfId="40" headerRowCellStyle="Millares">
  <autoFilter ref="AP4:BB82" xr:uid="{F7D856AB-4FCE-4F72-9EA9-B4D46FD48D43}"/>
  <tableColumns count="13">
    <tableColumn id="1" xr3:uid="{08E9D20F-8EBE-4AC5-9055-4E206647CE1E}" name="Servicio Campo" dataDxfId="39"/>
    <tableColumn id="2" xr3:uid="{63DF3A40-5A0C-4E26-97DA-CF0BFBFD17F3}" name="Lllave Estudio_Catgeoria" dataDxfId="38"/>
    <tableColumn id="3" xr3:uid="{ACC9D253-1AA6-4241-8508-10F02CDFE5FA}" name="Cliente" dataDxfId="37"/>
    <tableColumn id="4" xr3:uid="{815535C8-E363-4523-836D-7AA76A5B802D}" name="Frecuencia" dataDxfId="36"/>
    <tableColumn id="5" xr3:uid="{2B7862D6-95B8-42AE-AD28-79087BCF083D}" name="Periodicidad" dataDxfId="35"/>
    <tableColumn id="6" xr3:uid="{D1924875-A70B-4901-9248-2857BDF56E02}" name="Alcance" dataDxfId="34"/>
    <tableColumn id="7" xr3:uid="{C15449A5-4F3C-475D-9811-EFBA55564144}" name="Suma de Promedio" dataDxfId="33"/>
    <tableColumn id="8" xr3:uid="{39CB0EC7-E482-40DC-846F-2B709247F565}" name="Suma de Costo" dataDxfId="32"/>
    <tableColumn id="9" xr3:uid="{630B6EBF-D87B-444C-B2A8-56A81395F248}" name="MarkUP" dataDxfId="31"/>
    <tableColumn id="10" xr3:uid="{977A0510-8227-44E3-BB6C-B4615E38E616}" name="Suma Ingreso" dataDxfId="30"/>
    <tableColumn id="11" xr3:uid="{9F110D77-FA51-4E41-A71B-3BC28D4172FD}" name="Rentabilidad" dataDxfId="29"/>
    <tableColumn id="12" xr3:uid="{33D5DBE5-2090-422A-9ED9-8B220A9243DB}" name="Margen Catgeoria" dataDxfId="28"/>
    <tableColumn id="13" xr3:uid="{76BF3B7E-378A-40D5-A25C-94CD406127BE}" name="Margen Cliente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B73D1D-31F1-42D8-8D76-861C33EDF470}" name="Campo_TR" displayName="Campo_TR" ref="K4:Q73" totalsRowShown="0" headerRowDxfId="26" dataDxfId="24" headerRowBorderDxfId="25">
  <autoFilter ref="K4:Q73" xr:uid="{23B73D1D-31F1-42D8-8D76-861C33EDF470}"/>
  <tableColumns count="7">
    <tableColumn id="1" xr3:uid="{3B8DB007-AC38-4636-8E10-1FAE27573644}" name="Llave" dataDxfId="23"/>
    <tableColumn id="2" xr3:uid="{B5206508-9EDE-4613-9D35-2569550C1E5C}" name="Cliente" dataDxfId="22"/>
    <tableColumn id="3" xr3:uid="{CAAC309F-F2E8-419B-9C00-1AC6101FC36A}" name="CATEGORIA" dataDxfId="21"/>
    <tableColumn id="4" xr3:uid="{479026A2-A7ED-4602-B71F-EC4CBB0D439B}" name="ESTUDIO" dataDxfId="20"/>
    <tableColumn id="5" xr3:uid="{D5CC4FD8-AFDD-41AC-9400-E1EC47173895}" name="FRECUENCIA" dataDxfId="19"/>
    <tableColumn id="6" xr3:uid="{A19B65BD-44E1-457C-8EA7-714EA9FEFCF0}" name="Periodicidad" dataDxfId="18"/>
    <tableColumn id="7" xr3:uid="{633292B7-3A99-485B-8AE1-12DB9B9DC1FA}" name="VARIABLES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021DBD-B2EF-4A87-A290-10EC1A26C001}" name="Filtos_TR" displayName="Filtos_TR" ref="U4:Y14" totalsRowShown="0" headerRowDxfId="16" dataDxfId="15">
  <tableColumns count="5">
    <tableColumn id="4" xr3:uid="{AD908DBB-EC60-4365-AE64-83FDFA9C6BF6}" name="Servicios" dataDxfId="14"/>
    <tableColumn id="1" xr3:uid="{D6F90A86-08F2-4761-85EF-44D5BD712BA5}" name="Frecuencia" dataDxfId="13"/>
    <tableColumn id="2" xr3:uid="{9055C14A-3794-44DD-AB26-594F9CDACA75}" name="Entrega" dataDxfId="12"/>
    <tableColumn id="5" xr3:uid="{832BEA76-2C35-422F-8E06-ECFA3A3E9B27}" name="Llave_Frecuencia_Entrega" dataDxfId="11"/>
    <tableColumn id="3" xr3:uid="{8F1DE2D7-70B8-4A04-B311-2C3193AED577}" name="Factor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226D5B-20CD-4D65-AF60-F9C50F02AFF0}" name="Tarifario_ServicioCampo_Categorias_TR" displayName="Tarifario_ServicioCampo_Categorias_TR" ref="A4:H89" totalsRowShown="0" headerRowDxfId="9" dataDxfId="8">
  <autoFilter ref="A4:H89" xr:uid="{80226D5B-20CD-4D65-AF60-F9C50F02AFF0}"/>
  <sortState xmlns:xlrd2="http://schemas.microsoft.com/office/spreadsheetml/2017/richdata2" ref="A5:H89">
    <sortCondition ref="A4:A89"/>
  </sortState>
  <tableColumns count="8">
    <tableColumn id="1" xr3:uid="{BA1487C7-A4DB-413F-9B71-6F5871D0DE63}" name="Categoria" dataDxfId="7"/>
    <tableColumn id="2" xr3:uid="{5F365BEF-3042-493A-9B4B-39497204008D}" name="Audit Consumo" dataDxfId="6" dataCellStyle="Millares"/>
    <tableColumn id="3" xr3:uid="{7E673F44-FD0C-4F5D-89C4-72689E7F3E5B}" name="Audit Insumos" dataDxfId="5"/>
    <tableColumn id="4" xr3:uid="{B1EA0416-0DB3-4E97-9B9E-5269E4AB6DC9}" name="Chequeo" dataDxfId="4"/>
    <tableColumn id="5" xr3:uid="{6999B927-CB69-4060-87E7-E771B2C96538}" name="Exhibicion Lima" dataDxfId="3" dataCellStyle="Millares"/>
    <tableColumn id="6" xr3:uid="{3DD39B6F-E611-4D57-AE35-09C6769D9B29}" name="Exhibicion Provincias" dataDxfId="2" dataCellStyle="Millares"/>
    <tableColumn id="7" xr3:uid="{5A2F41F6-08C2-4A1D-A933-8F9DAB947C9D}" name="Chequeo Insumos" dataDxfId="1"/>
    <tableColumn id="8" xr3:uid="{39130C3E-4CCE-4328-8912-A8CA1E50CC6D}" name="Chec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8" dT="2025-12-18T17:46:58.78" personId="{767FE05F-27B5-42AC-A382-3F808F042A90}" id="{69FFAFC3-CE1D-4A8D-BF74-E05E07354DB0}">
    <text>Se levanta completa y se entrega sin Gomas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D708-8B4F-4682-860E-B8415CCB7E38}">
  <dimension ref="A3:BB90"/>
  <sheetViews>
    <sheetView tabSelected="1" workbookViewId="0">
      <selection sqref="A1:BB1048576"/>
    </sheetView>
  </sheetViews>
  <sheetFormatPr baseColWidth="10" defaultRowHeight="14.5" x14ac:dyDescent="0.35"/>
  <cols>
    <col min="1" max="1" width="42.1796875" bestFit="1" customWidth="1"/>
    <col min="2" max="2" width="23.1796875" customWidth="1"/>
    <col min="3" max="3" width="16.1796875" bestFit="1" customWidth="1"/>
    <col min="4" max="4" width="12.26953125" bestFit="1" customWidth="1"/>
    <col min="5" max="5" width="18.453125" bestFit="1" customWidth="1"/>
    <col min="6" max="6" width="22.7265625" bestFit="1" customWidth="1"/>
    <col min="7" max="7" width="19.1796875" bestFit="1" customWidth="1"/>
    <col min="8" max="8" width="15.26953125" customWidth="1"/>
    <col min="9" max="9" width="11.453125"/>
    <col min="10" max="10" width="14.1796875" customWidth="1"/>
    <col min="11" max="11" width="50.453125" bestFit="1" customWidth="1"/>
    <col min="12" max="12" width="18.54296875" customWidth="1"/>
    <col min="13" max="13" width="35.1796875" bestFit="1" customWidth="1"/>
    <col min="14" max="14" width="16" bestFit="1" customWidth="1"/>
    <col min="15" max="15" width="13.7265625" customWidth="1"/>
    <col min="16" max="16" width="13.453125" customWidth="1"/>
    <col min="17" max="20" width="11.453125"/>
    <col min="21" max="21" width="25" bestFit="1" customWidth="1"/>
    <col min="22" max="22" width="12.1796875" customWidth="1"/>
    <col min="23" max="23" width="12" bestFit="1" customWidth="1"/>
    <col min="24" max="24" width="22.54296875" bestFit="1" customWidth="1"/>
    <col min="25" max="25" width="6.1796875" bestFit="1" customWidth="1"/>
    <col min="26" max="26" width="11.453125"/>
    <col min="27" max="27" width="16.81640625" bestFit="1" customWidth="1"/>
    <col min="28" max="29" width="11.453125"/>
    <col min="30" max="30" width="17.54296875" customWidth="1"/>
    <col min="31" max="31" width="1.453125" customWidth="1"/>
    <col min="32" max="32" width="15.7265625" bestFit="1" customWidth="1"/>
    <col min="33" max="33" width="15.26953125" customWidth="1"/>
    <col min="34" max="34" width="11.453125"/>
    <col min="35" max="35" width="21.81640625" customWidth="1"/>
    <col min="36" max="36" width="16.453125" customWidth="1"/>
    <col min="37" max="37" width="11.453125" customWidth="1"/>
    <col min="38" max="38" width="11" customWidth="1"/>
    <col min="39" max="39" width="15.1796875" customWidth="1"/>
    <col min="40" max="41" width="11.453125"/>
    <col min="42" max="42" width="27.54296875" bestFit="1" customWidth="1"/>
    <col min="43" max="43" width="43.26953125" bestFit="1" customWidth="1"/>
    <col min="44" max="44" width="20.1796875" bestFit="1" customWidth="1"/>
    <col min="45" max="45" width="12.1796875" customWidth="1"/>
    <col min="46" max="46" width="13.453125" customWidth="1"/>
    <col min="47" max="47" width="10.1796875" bestFit="1" customWidth="1"/>
    <col min="48" max="48" width="18.453125" customWidth="1"/>
    <col min="49" max="49" width="15.26953125" customWidth="1"/>
    <col min="50" max="50" width="9.26953125" customWidth="1"/>
    <col min="51" max="51" width="14.1796875" customWidth="1"/>
    <col min="52" max="52" width="13.54296875" customWidth="1"/>
    <col min="53" max="53" width="18.54296875" customWidth="1"/>
    <col min="54" max="54" width="15.453125" customWidth="1"/>
  </cols>
  <sheetData>
    <row r="3" spans="1:54" x14ac:dyDescent="0.35">
      <c r="A3" t="s">
        <v>0</v>
      </c>
      <c r="K3" s="1" t="s">
        <v>1</v>
      </c>
      <c r="M3" s="2"/>
      <c r="N3" s="2"/>
      <c r="O3" s="2"/>
      <c r="P3" s="2"/>
      <c r="U3" t="s">
        <v>2</v>
      </c>
      <c r="AA3" t="s">
        <v>3</v>
      </c>
      <c r="AH3" t="s">
        <v>4</v>
      </c>
      <c r="AP3" t="s">
        <v>5</v>
      </c>
    </row>
    <row r="4" spans="1:54" x14ac:dyDescent="0.35">
      <c r="A4" s="3" t="s">
        <v>6</v>
      </c>
      <c r="B4" s="4" t="s">
        <v>7</v>
      </c>
      <c r="C4" s="4" t="s">
        <v>8</v>
      </c>
      <c r="D4" s="4" t="s">
        <v>9</v>
      </c>
      <c r="E4" s="5" t="s">
        <v>10</v>
      </c>
      <c r="F4" s="5" t="s">
        <v>11</v>
      </c>
      <c r="G4" s="4" t="s">
        <v>12</v>
      </c>
      <c r="H4" s="4" t="s">
        <v>13</v>
      </c>
      <c r="K4" s="6" t="s">
        <v>14</v>
      </c>
      <c r="L4" s="6" t="s">
        <v>15</v>
      </c>
      <c r="M4" s="6" t="s">
        <v>16</v>
      </c>
      <c r="N4" s="7" t="s">
        <v>17</v>
      </c>
      <c r="O4" s="6" t="s">
        <v>18</v>
      </c>
      <c r="P4" s="6" t="s">
        <v>19</v>
      </c>
      <c r="Q4" s="6" t="s">
        <v>20</v>
      </c>
      <c r="U4" s="8" t="s">
        <v>21</v>
      </c>
      <c r="V4" s="6" t="s">
        <v>22</v>
      </c>
      <c r="W4" s="6" t="s">
        <v>23</v>
      </c>
      <c r="X4" s="6" t="s">
        <v>24</v>
      </c>
      <c r="Y4" s="9" t="s">
        <v>25</v>
      </c>
      <c r="AA4" s="10" t="s">
        <v>26</v>
      </c>
      <c r="AB4" s="11" t="s">
        <v>27</v>
      </c>
      <c r="AD4" t="s">
        <v>28</v>
      </c>
      <c r="AF4" t="s">
        <v>29</v>
      </c>
      <c r="AH4" t="s">
        <v>30</v>
      </c>
      <c r="AI4" t="s">
        <v>31</v>
      </c>
      <c r="AJ4" t="s">
        <v>32</v>
      </c>
      <c r="AK4" t="s">
        <v>33</v>
      </c>
      <c r="AL4" t="s">
        <v>34</v>
      </c>
      <c r="AM4" t="s">
        <v>35</v>
      </c>
      <c r="AN4" t="s">
        <v>36</v>
      </c>
      <c r="AP4" s="12" t="s">
        <v>37</v>
      </c>
      <c r="AQ4" s="12" t="s">
        <v>38</v>
      </c>
      <c r="AR4" s="12" t="s">
        <v>15</v>
      </c>
      <c r="AS4" s="12" t="s">
        <v>22</v>
      </c>
      <c r="AT4" s="12" t="s">
        <v>19</v>
      </c>
      <c r="AU4" s="12" t="s">
        <v>39</v>
      </c>
      <c r="AV4" s="12" t="s">
        <v>40</v>
      </c>
      <c r="AW4" s="12" t="s">
        <v>41</v>
      </c>
      <c r="AX4" s="12" t="s">
        <v>42</v>
      </c>
      <c r="AY4" s="13" t="s">
        <v>43</v>
      </c>
      <c r="AZ4" s="13" t="s">
        <v>44</v>
      </c>
      <c r="BA4" s="14" t="s">
        <v>45</v>
      </c>
      <c r="BB4" s="15" t="s">
        <v>46</v>
      </c>
    </row>
    <row r="5" spans="1:54" x14ac:dyDescent="0.35">
      <c r="A5" t="s">
        <v>47</v>
      </c>
      <c r="B5" s="16">
        <v>7.21</v>
      </c>
      <c r="C5" s="16"/>
      <c r="D5" s="16">
        <v>5.1883454412624994</v>
      </c>
      <c r="E5" s="16"/>
      <c r="F5" s="16"/>
      <c r="K5" s="1" t="s">
        <v>48</v>
      </c>
      <c r="L5" s="1"/>
      <c r="M5" s="17" t="s">
        <v>49</v>
      </c>
      <c r="N5" s="1" t="s">
        <v>7</v>
      </c>
      <c r="O5" t="s">
        <v>50</v>
      </c>
      <c r="P5" t="s">
        <v>51</v>
      </c>
      <c r="Q5" s="18" t="s">
        <v>52</v>
      </c>
      <c r="U5" s="19" t="s">
        <v>7</v>
      </c>
      <c r="V5" t="s">
        <v>53</v>
      </c>
      <c r="W5" t="s">
        <v>54</v>
      </c>
      <c r="X5" t="s">
        <v>55</v>
      </c>
      <c r="Y5">
        <v>1</v>
      </c>
      <c r="AA5" s="20" t="s">
        <v>56</v>
      </c>
      <c r="AB5" s="21">
        <v>1</v>
      </c>
      <c r="AD5" t="s">
        <v>57</v>
      </c>
      <c r="AF5" t="s">
        <v>58</v>
      </c>
      <c r="AH5">
        <v>1000163</v>
      </c>
      <c r="AI5" t="s">
        <v>59</v>
      </c>
      <c r="AJ5" t="s">
        <v>60</v>
      </c>
      <c r="AK5" t="s">
        <v>61</v>
      </c>
      <c r="AL5" t="s">
        <v>61</v>
      </c>
      <c r="AM5" t="s">
        <v>62</v>
      </c>
      <c r="AN5" t="s">
        <v>63</v>
      </c>
      <c r="AP5" s="22" t="s">
        <v>7</v>
      </c>
      <c r="AQ5" s="22" t="s">
        <v>64</v>
      </c>
      <c r="AR5" s="23" t="s">
        <v>65</v>
      </c>
      <c r="AS5" s="23" t="s">
        <v>51</v>
      </c>
      <c r="AT5" s="23" t="s">
        <v>66</v>
      </c>
      <c r="AU5" s="23" t="s">
        <v>67</v>
      </c>
      <c r="AV5" s="24">
        <v>33357.193985006612</v>
      </c>
      <c r="AW5" s="24">
        <v>28602.165525</v>
      </c>
      <c r="AX5" s="25">
        <v>1.1662471485192418</v>
      </c>
      <c r="AY5" s="24">
        <v>42110.648985006614</v>
      </c>
      <c r="AZ5" s="24">
        <v>13508.483460006613</v>
      </c>
      <c r="BA5" s="26">
        <v>0.32078544941960579</v>
      </c>
      <c r="BB5" s="27">
        <v>0.14254881457187021</v>
      </c>
    </row>
    <row r="6" spans="1:54" x14ac:dyDescent="0.35">
      <c r="A6" t="s">
        <v>68</v>
      </c>
      <c r="B6" s="16"/>
      <c r="E6" s="16">
        <v>16</v>
      </c>
      <c r="F6" s="16">
        <v>20</v>
      </c>
      <c r="K6" s="1" t="s">
        <v>69</v>
      </c>
      <c r="L6" s="1"/>
      <c r="M6" s="28" t="s">
        <v>70</v>
      </c>
      <c r="N6" s="1" t="s">
        <v>7</v>
      </c>
      <c r="O6" t="s">
        <v>71</v>
      </c>
      <c r="P6" t="s">
        <v>51</v>
      </c>
      <c r="Q6" s="18" t="s">
        <v>52</v>
      </c>
      <c r="S6" t="s">
        <v>50</v>
      </c>
      <c r="U6" s="29" t="s">
        <v>8</v>
      </c>
      <c r="V6" t="s">
        <v>72</v>
      </c>
      <c r="W6" t="s">
        <v>66</v>
      </c>
      <c r="X6" t="s">
        <v>73</v>
      </c>
      <c r="Y6">
        <v>1.5</v>
      </c>
      <c r="AA6" s="20" t="s">
        <v>74</v>
      </c>
      <c r="AB6" s="21">
        <v>1</v>
      </c>
      <c r="AD6" t="s">
        <v>75</v>
      </c>
      <c r="AF6" t="s">
        <v>76</v>
      </c>
      <c r="AH6">
        <v>1000164</v>
      </c>
      <c r="AI6" t="s">
        <v>77</v>
      </c>
      <c r="AJ6" t="s">
        <v>60</v>
      </c>
      <c r="AK6" t="s">
        <v>61</v>
      </c>
      <c r="AL6" t="s">
        <v>61</v>
      </c>
      <c r="AM6" t="s">
        <v>62</v>
      </c>
      <c r="AN6" t="s">
        <v>63</v>
      </c>
      <c r="AP6" s="30" t="s">
        <v>7</v>
      </c>
      <c r="AQ6" s="30" t="s">
        <v>64</v>
      </c>
      <c r="AR6" s="31" t="s">
        <v>78</v>
      </c>
      <c r="AS6" s="31" t="s">
        <v>51</v>
      </c>
      <c r="AT6" s="31" t="s">
        <v>66</v>
      </c>
      <c r="AU6" s="31" t="s">
        <v>79</v>
      </c>
      <c r="AV6" s="32">
        <v>8753.4549999999999</v>
      </c>
      <c r="AW6" s="32">
        <v>0</v>
      </c>
      <c r="AX6" s="33"/>
      <c r="AY6" s="32"/>
      <c r="AZ6" s="32">
        <v>8753.4549999999999</v>
      </c>
      <c r="BA6" s="34"/>
      <c r="BB6" s="35">
        <v>1</v>
      </c>
    </row>
    <row r="7" spans="1:54" x14ac:dyDescent="0.35">
      <c r="A7" t="s">
        <v>80</v>
      </c>
      <c r="B7" s="16"/>
      <c r="C7" s="16">
        <v>14.138868857142899</v>
      </c>
      <c r="D7" s="16"/>
      <c r="E7" s="16"/>
      <c r="F7" s="16"/>
      <c r="K7" s="1" t="s">
        <v>69</v>
      </c>
      <c r="L7" s="1"/>
      <c r="M7" s="28" t="s">
        <v>70</v>
      </c>
      <c r="N7" s="1" t="s">
        <v>7</v>
      </c>
      <c r="O7" t="s">
        <v>71</v>
      </c>
      <c r="P7" t="s">
        <v>51</v>
      </c>
      <c r="Q7" s="18" t="s">
        <v>52</v>
      </c>
      <c r="S7" t="s">
        <v>71</v>
      </c>
      <c r="U7" s="19" t="s">
        <v>9</v>
      </c>
      <c r="V7" t="s">
        <v>81</v>
      </c>
      <c r="W7" t="s">
        <v>82</v>
      </c>
      <c r="X7" t="s">
        <v>83</v>
      </c>
      <c r="Y7">
        <v>1.75</v>
      </c>
      <c r="AA7" s="20" t="s">
        <v>84</v>
      </c>
      <c r="AB7" s="21">
        <v>1</v>
      </c>
      <c r="AD7" t="s">
        <v>85</v>
      </c>
      <c r="AF7" t="s">
        <v>86</v>
      </c>
      <c r="AH7">
        <v>1000169</v>
      </c>
      <c r="AI7" t="s">
        <v>87</v>
      </c>
      <c r="AJ7" t="s">
        <v>60</v>
      </c>
      <c r="AK7" t="s">
        <v>61</v>
      </c>
      <c r="AL7" t="s">
        <v>61</v>
      </c>
      <c r="AM7" t="s">
        <v>62</v>
      </c>
      <c r="AN7" t="s">
        <v>63</v>
      </c>
      <c r="AP7" s="22" t="s">
        <v>7</v>
      </c>
      <c r="AQ7" s="22" t="s">
        <v>88</v>
      </c>
      <c r="AR7" s="23" t="s">
        <v>89</v>
      </c>
      <c r="AS7" s="23" t="s">
        <v>51</v>
      </c>
      <c r="AT7" s="23" t="s">
        <v>54</v>
      </c>
      <c r="AU7" s="23" t="s">
        <v>90</v>
      </c>
      <c r="AV7" s="24">
        <v>36396.875294117664</v>
      </c>
      <c r="AW7" s="24">
        <v>24850</v>
      </c>
      <c r="AX7" s="25">
        <v>1.4646629897029242</v>
      </c>
      <c r="AY7" s="24">
        <v>36396.875294117664</v>
      </c>
      <c r="AZ7" s="24">
        <v>11546.875294117664</v>
      </c>
      <c r="BA7" s="26">
        <v>0.31724908253274781</v>
      </c>
      <c r="BB7" s="27">
        <v>0.31724908253274781</v>
      </c>
    </row>
    <row r="8" spans="1:54" x14ac:dyDescent="0.35">
      <c r="A8" t="s">
        <v>91</v>
      </c>
      <c r="B8" s="16">
        <v>5.4</v>
      </c>
      <c r="C8" s="16"/>
      <c r="D8" s="16">
        <v>5.1883454412624994</v>
      </c>
      <c r="E8" s="16">
        <v>15.69513317625</v>
      </c>
      <c r="F8" s="16">
        <v>19.618916470312499</v>
      </c>
      <c r="K8" s="1" t="s">
        <v>92</v>
      </c>
      <c r="L8" s="1"/>
      <c r="M8" s="1" t="s">
        <v>93</v>
      </c>
      <c r="N8" s="1" t="s">
        <v>7</v>
      </c>
      <c r="O8" t="s">
        <v>50</v>
      </c>
      <c r="P8" t="s">
        <v>51</v>
      </c>
      <c r="Q8" s="18" t="s">
        <v>52</v>
      </c>
      <c r="S8" t="s">
        <v>71</v>
      </c>
      <c r="U8" s="29" t="s">
        <v>94</v>
      </c>
      <c r="W8" t="s">
        <v>95</v>
      </c>
      <c r="X8" t="s">
        <v>96</v>
      </c>
      <c r="Y8">
        <v>2.25</v>
      </c>
      <c r="AA8" s="36" t="s">
        <v>97</v>
      </c>
      <c r="AB8" s="37">
        <v>1</v>
      </c>
      <c r="AD8" t="s">
        <v>98</v>
      </c>
      <c r="AH8">
        <v>1000171</v>
      </c>
      <c r="AI8" t="s">
        <v>99</v>
      </c>
      <c r="AJ8" t="s">
        <v>60</v>
      </c>
      <c r="AK8" t="s">
        <v>61</v>
      </c>
      <c r="AL8" t="s">
        <v>61</v>
      </c>
      <c r="AM8" t="s">
        <v>62</v>
      </c>
      <c r="AN8" t="s">
        <v>63</v>
      </c>
      <c r="AP8" s="30" t="s">
        <v>7</v>
      </c>
      <c r="AQ8" s="30" t="s">
        <v>100</v>
      </c>
      <c r="AR8" s="31" t="s">
        <v>89</v>
      </c>
      <c r="AS8" s="31" t="s">
        <v>51</v>
      </c>
      <c r="AT8" s="31" t="s">
        <v>54</v>
      </c>
      <c r="AU8" s="31" t="s">
        <v>90</v>
      </c>
      <c r="AV8" s="32">
        <v>38448.795882352941</v>
      </c>
      <c r="AW8" s="32">
        <v>21992.601600000002</v>
      </c>
      <c r="AX8" s="33">
        <v>1.7482604642077879</v>
      </c>
      <c r="AY8" s="32">
        <v>38448.795882352941</v>
      </c>
      <c r="AZ8" s="32">
        <v>16456.194282352939</v>
      </c>
      <c r="BA8" s="34">
        <v>0.42800285170714358</v>
      </c>
      <c r="BB8" s="35">
        <v>0.42800285170714358</v>
      </c>
    </row>
    <row r="9" spans="1:54" x14ac:dyDescent="0.35">
      <c r="A9" t="s">
        <v>101</v>
      </c>
      <c r="B9" s="16"/>
      <c r="E9" s="16">
        <v>11.509764329249998</v>
      </c>
      <c r="F9" s="16">
        <v>14.387205411562499</v>
      </c>
      <c r="K9" s="1" t="s">
        <v>102</v>
      </c>
      <c r="L9" s="1"/>
      <c r="M9" s="17" t="s">
        <v>103</v>
      </c>
      <c r="N9" s="1" t="s">
        <v>7</v>
      </c>
      <c r="O9" t="s">
        <v>50</v>
      </c>
      <c r="P9" t="s">
        <v>51</v>
      </c>
      <c r="Q9" s="18" t="s">
        <v>52</v>
      </c>
      <c r="S9" t="s">
        <v>50</v>
      </c>
      <c r="U9" s="19" t="s">
        <v>13</v>
      </c>
      <c r="W9" t="s">
        <v>104</v>
      </c>
      <c r="X9" t="s">
        <v>105</v>
      </c>
      <c r="Y9">
        <f>1*12*0.5</f>
        <v>6</v>
      </c>
      <c r="AA9" s="20" t="s">
        <v>106</v>
      </c>
      <c r="AB9" s="21">
        <v>1</v>
      </c>
      <c r="AH9">
        <v>1000173</v>
      </c>
      <c r="AI9" t="s">
        <v>107</v>
      </c>
      <c r="AJ9" t="s">
        <v>60</v>
      </c>
      <c r="AK9" t="s">
        <v>61</v>
      </c>
      <c r="AL9" t="s">
        <v>61</v>
      </c>
      <c r="AM9" t="s">
        <v>62</v>
      </c>
      <c r="AN9" t="s">
        <v>63</v>
      </c>
      <c r="AP9" s="22" t="s">
        <v>7</v>
      </c>
      <c r="AQ9" s="22" t="s">
        <v>108</v>
      </c>
      <c r="AR9" s="23" t="s">
        <v>65</v>
      </c>
      <c r="AS9" s="23" t="s">
        <v>51</v>
      </c>
      <c r="AT9" s="23" t="s">
        <v>66</v>
      </c>
      <c r="AU9" s="23" t="s">
        <v>109</v>
      </c>
      <c r="AV9" s="24">
        <v>37123.799999999996</v>
      </c>
      <c r="AW9" s="24">
        <v>23087.205890000001</v>
      </c>
      <c r="AX9" s="25">
        <v>1.607981501827374</v>
      </c>
      <c r="AY9" s="24">
        <v>37123.799999999996</v>
      </c>
      <c r="AZ9" s="24">
        <v>14036.594109999995</v>
      </c>
      <c r="BA9" s="26">
        <v>0.37810229852547411</v>
      </c>
      <c r="BB9" s="27">
        <v>0.37810229852547411</v>
      </c>
    </row>
    <row r="10" spans="1:54" x14ac:dyDescent="0.35">
      <c r="A10" t="s">
        <v>110</v>
      </c>
      <c r="B10" s="16">
        <v>5.15</v>
      </c>
      <c r="E10" s="16">
        <v>12</v>
      </c>
      <c r="F10" s="16">
        <v>15</v>
      </c>
      <c r="K10" s="1" t="s">
        <v>111</v>
      </c>
      <c r="L10" s="1"/>
      <c r="M10" s="1" t="s">
        <v>112</v>
      </c>
      <c r="N10" s="1" t="s">
        <v>7</v>
      </c>
      <c r="O10" t="s">
        <v>50</v>
      </c>
      <c r="P10" t="s">
        <v>51</v>
      </c>
      <c r="Q10" s="18" t="s">
        <v>52</v>
      </c>
      <c r="S10" t="s">
        <v>50</v>
      </c>
      <c r="U10" s="38" t="s">
        <v>12</v>
      </c>
      <c r="W10" t="s">
        <v>58</v>
      </c>
      <c r="X10" t="s">
        <v>113</v>
      </c>
      <c r="Y10">
        <f>1*12*0.8</f>
        <v>9.6000000000000014</v>
      </c>
      <c r="AA10" s="20" t="s">
        <v>114</v>
      </c>
      <c r="AB10" s="21">
        <v>1</v>
      </c>
      <c r="AH10">
        <v>1000174</v>
      </c>
      <c r="AI10" t="s">
        <v>115</v>
      </c>
      <c r="AJ10" t="s">
        <v>60</v>
      </c>
      <c r="AK10" t="s">
        <v>61</v>
      </c>
      <c r="AL10" t="s">
        <v>61</v>
      </c>
      <c r="AM10" t="s">
        <v>62</v>
      </c>
      <c r="AN10" t="s">
        <v>63</v>
      </c>
      <c r="AP10" s="30" t="s">
        <v>7</v>
      </c>
      <c r="AQ10" s="30" t="s">
        <v>108</v>
      </c>
      <c r="AR10" s="31" t="s">
        <v>116</v>
      </c>
      <c r="AS10" s="31" t="s">
        <v>51</v>
      </c>
      <c r="AT10" s="31" t="s">
        <v>54</v>
      </c>
      <c r="AU10" s="31" t="s">
        <v>109</v>
      </c>
      <c r="AV10" s="32">
        <v>26197.436503993376</v>
      </c>
      <c r="AW10" s="32">
        <v>0</v>
      </c>
      <c r="AX10" s="33"/>
      <c r="AY10" s="31"/>
      <c r="AZ10" s="32">
        <v>26197.436503993376</v>
      </c>
      <c r="BA10" s="39"/>
      <c r="BB10" s="35">
        <v>1</v>
      </c>
    </row>
    <row r="11" spans="1:54" x14ac:dyDescent="0.35">
      <c r="A11" s="40" t="s">
        <v>117</v>
      </c>
      <c r="B11" s="16">
        <v>7.2</v>
      </c>
      <c r="C11" s="16"/>
      <c r="D11" s="16">
        <v>5.8246519576437503</v>
      </c>
      <c r="E11" s="16"/>
      <c r="F11" s="16"/>
      <c r="K11" s="1" t="s">
        <v>118</v>
      </c>
      <c r="L11" s="1"/>
      <c r="M11" s="17" t="s">
        <v>119</v>
      </c>
      <c r="N11" s="1" t="s">
        <v>7</v>
      </c>
      <c r="O11" t="s">
        <v>71</v>
      </c>
      <c r="P11" t="s">
        <v>51</v>
      </c>
      <c r="Q11" s="18" t="s">
        <v>120</v>
      </c>
      <c r="S11" t="s">
        <v>50</v>
      </c>
      <c r="U11" s="19" t="s">
        <v>121</v>
      </c>
      <c r="W11" t="s">
        <v>122</v>
      </c>
      <c r="X11" t="s">
        <v>123</v>
      </c>
      <c r="Y11">
        <v>1.5</v>
      </c>
      <c r="AA11" s="20" t="s">
        <v>124</v>
      </c>
      <c r="AB11" s="21">
        <v>1</v>
      </c>
      <c r="AH11">
        <v>16780</v>
      </c>
      <c r="AI11" t="s">
        <v>125</v>
      </c>
      <c r="AJ11" t="s">
        <v>60</v>
      </c>
      <c r="AK11" t="s">
        <v>61</v>
      </c>
      <c r="AL11" t="s">
        <v>61</v>
      </c>
      <c r="AM11" t="s">
        <v>126</v>
      </c>
      <c r="AN11" t="s">
        <v>63</v>
      </c>
      <c r="AP11" s="22" t="s">
        <v>7</v>
      </c>
      <c r="AQ11" s="22" t="s">
        <v>127</v>
      </c>
      <c r="AR11" s="23" t="s">
        <v>128</v>
      </c>
      <c r="AS11" s="23" t="s">
        <v>51</v>
      </c>
      <c r="AT11" s="23" t="s">
        <v>66</v>
      </c>
      <c r="AU11" s="23" t="s">
        <v>129</v>
      </c>
      <c r="AV11" s="24">
        <v>33858.067708333336</v>
      </c>
      <c r="AW11" s="24"/>
      <c r="AX11" s="25"/>
      <c r="AY11" s="23"/>
      <c r="AZ11" s="24">
        <v>33858.067708333336</v>
      </c>
      <c r="BA11" s="41"/>
      <c r="BB11" s="27">
        <v>1</v>
      </c>
    </row>
    <row r="12" spans="1:54" x14ac:dyDescent="0.35">
      <c r="A12" t="s">
        <v>117</v>
      </c>
      <c r="B12" s="16"/>
      <c r="E12" s="16">
        <v>14.532530718749999</v>
      </c>
      <c r="F12" s="16">
        <v>18.165663398437498</v>
      </c>
      <c r="K12" s="1" t="s">
        <v>130</v>
      </c>
      <c r="L12" s="1"/>
      <c r="M12" s="17" t="s">
        <v>131</v>
      </c>
      <c r="N12" s="1" t="s">
        <v>7</v>
      </c>
      <c r="O12" t="s">
        <v>71</v>
      </c>
      <c r="P12" t="s">
        <v>51</v>
      </c>
      <c r="Q12" s="18" t="s">
        <v>132</v>
      </c>
      <c r="S12" t="s">
        <v>71</v>
      </c>
      <c r="U12" s="29" t="s">
        <v>133</v>
      </c>
      <c r="X12" t="s">
        <v>134</v>
      </c>
      <c r="Y12">
        <v>3</v>
      </c>
      <c r="AA12" s="20" t="s">
        <v>135</v>
      </c>
      <c r="AB12" s="21">
        <v>1</v>
      </c>
      <c r="AH12">
        <v>1000176</v>
      </c>
      <c r="AI12" t="s">
        <v>136</v>
      </c>
      <c r="AJ12" t="s">
        <v>60</v>
      </c>
      <c r="AK12" t="s">
        <v>61</v>
      </c>
      <c r="AL12" t="s">
        <v>61</v>
      </c>
      <c r="AM12" t="s">
        <v>62</v>
      </c>
      <c r="AN12" t="s">
        <v>63</v>
      </c>
      <c r="AP12" s="30" t="s">
        <v>7</v>
      </c>
      <c r="AQ12" s="30" t="s">
        <v>127</v>
      </c>
      <c r="AR12" s="31" t="s">
        <v>137</v>
      </c>
      <c r="AS12" s="31" t="s">
        <v>51</v>
      </c>
      <c r="AT12" s="31" t="s">
        <v>54</v>
      </c>
      <c r="AU12" s="31" t="s">
        <v>138</v>
      </c>
      <c r="AV12" s="32">
        <v>28462.90764705883</v>
      </c>
      <c r="AW12" s="32">
        <v>21110.25</v>
      </c>
      <c r="AX12" s="33">
        <v>1.3482979901734384</v>
      </c>
      <c r="AY12" s="32">
        <v>28462.90764705883</v>
      </c>
      <c r="AZ12" s="32">
        <v>7352.6576470588298</v>
      </c>
      <c r="BA12" s="34">
        <v>0.25832419295428538</v>
      </c>
      <c r="BB12" s="35">
        <v>0.25832419295428538</v>
      </c>
    </row>
    <row r="13" spans="1:54" x14ac:dyDescent="0.35">
      <c r="A13" t="s">
        <v>139</v>
      </c>
      <c r="B13" s="16">
        <v>8</v>
      </c>
      <c r="C13" s="16"/>
      <c r="D13" s="16"/>
      <c r="E13" s="16"/>
      <c r="F13" s="16"/>
      <c r="K13" s="1" t="s">
        <v>130</v>
      </c>
      <c r="L13" s="1"/>
      <c r="M13" s="1" t="s">
        <v>131</v>
      </c>
      <c r="N13" s="1" t="s">
        <v>7</v>
      </c>
      <c r="O13" t="s">
        <v>71</v>
      </c>
      <c r="P13" t="s">
        <v>51</v>
      </c>
      <c r="Q13" s="18" t="s">
        <v>52</v>
      </c>
      <c r="S13" t="s">
        <v>71</v>
      </c>
      <c r="U13" s="42"/>
      <c r="X13" t="s">
        <v>140</v>
      </c>
      <c r="Y13">
        <v>3.5</v>
      </c>
      <c r="AA13" s="20" t="s">
        <v>141</v>
      </c>
      <c r="AB13" s="21">
        <v>1.2</v>
      </c>
      <c r="AH13">
        <v>1000177</v>
      </c>
      <c r="AI13" t="s">
        <v>142</v>
      </c>
      <c r="AJ13" t="s">
        <v>60</v>
      </c>
      <c r="AK13" t="s">
        <v>61</v>
      </c>
      <c r="AL13" t="s">
        <v>61</v>
      </c>
      <c r="AM13" t="s">
        <v>62</v>
      </c>
      <c r="AN13" t="s">
        <v>63</v>
      </c>
      <c r="AP13" s="22" t="s">
        <v>7</v>
      </c>
      <c r="AQ13" s="22" t="s">
        <v>127</v>
      </c>
      <c r="AR13" s="23" t="s">
        <v>143</v>
      </c>
      <c r="AS13" s="23" t="s">
        <v>51</v>
      </c>
      <c r="AT13" s="23" t="s">
        <v>66</v>
      </c>
      <c r="AU13" s="23" t="s">
        <v>79</v>
      </c>
      <c r="AV13" s="24">
        <v>11736.994357638889</v>
      </c>
      <c r="AW13" s="24"/>
      <c r="AX13" s="25"/>
      <c r="AY13" s="23"/>
      <c r="AZ13" s="24">
        <v>11736.994357638889</v>
      </c>
      <c r="BA13" s="41"/>
      <c r="BB13" s="27">
        <v>1</v>
      </c>
    </row>
    <row r="14" spans="1:54" x14ac:dyDescent="0.35">
      <c r="A14" t="s">
        <v>144</v>
      </c>
      <c r="B14" s="16">
        <v>5.15</v>
      </c>
      <c r="C14" s="16"/>
      <c r="D14" s="16"/>
      <c r="E14" s="43"/>
      <c r="F14" s="43"/>
      <c r="K14" s="1" t="s">
        <v>145</v>
      </c>
      <c r="L14" s="1"/>
      <c r="M14" s="17" t="s">
        <v>146</v>
      </c>
      <c r="N14" s="1" t="s">
        <v>7</v>
      </c>
      <c r="O14" t="s">
        <v>71</v>
      </c>
      <c r="P14" t="s">
        <v>51</v>
      </c>
      <c r="Q14" s="18" t="s">
        <v>120</v>
      </c>
      <c r="S14" t="s">
        <v>71</v>
      </c>
      <c r="X14" t="s">
        <v>147</v>
      </c>
      <c r="Y14">
        <v>3.5</v>
      </c>
      <c r="AA14" s="20" t="s">
        <v>148</v>
      </c>
      <c r="AB14" s="21">
        <v>1</v>
      </c>
      <c r="AH14">
        <v>1000178</v>
      </c>
      <c r="AI14" t="s">
        <v>149</v>
      </c>
      <c r="AJ14" t="s">
        <v>60</v>
      </c>
      <c r="AK14" t="s">
        <v>61</v>
      </c>
      <c r="AL14" t="s">
        <v>61</v>
      </c>
      <c r="AM14" t="s">
        <v>62</v>
      </c>
      <c r="AN14" t="s">
        <v>63</v>
      </c>
      <c r="AP14" s="30" t="s">
        <v>7</v>
      </c>
      <c r="AQ14" s="30" t="s">
        <v>150</v>
      </c>
      <c r="AR14" s="31" t="s">
        <v>151</v>
      </c>
      <c r="AS14" s="31" t="s">
        <v>51</v>
      </c>
      <c r="AT14" s="31" t="s">
        <v>54</v>
      </c>
      <c r="AU14" s="31" t="s">
        <v>152</v>
      </c>
      <c r="AV14" s="32">
        <v>6424.6999999999989</v>
      </c>
      <c r="AW14" s="32">
        <v>3083.8559999999998</v>
      </c>
      <c r="AX14" s="33">
        <v>2.083333333333333</v>
      </c>
      <c r="AY14" s="32">
        <v>6424.6999999999989</v>
      </c>
      <c r="AZ14" s="32">
        <v>3340.8439999999991</v>
      </c>
      <c r="BA14" s="34">
        <v>0.51999999999999991</v>
      </c>
      <c r="BB14" s="35">
        <v>0.51999999999999991</v>
      </c>
    </row>
    <row r="15" spans="1:54" x14ac:dyDescent="0.35">
      <c r="A15" t="s">
        <v>153</v>
      </c>
      <c r="B15" s="16">
        <v>6.18</v>
      </c>
      <c r="C15" s="16"/>
      <c r="D15" s="16"/>
      <c r="E15" s="16"/>
      <c r="F15" s="16"/>
      <c r="K15" s="1" t="s">
        <v>154</v>
      </c>
      <c r="L15" s="1"/>
      <c r="M15" s="1" t="s">
        <v>155</v>
      </c>
      <c r="N15" s="1" t="s">
        <v>7</v>
      </c>
      <c r="O15" t="s">
        <v>71</v>
      </c>
      <c r="P15" t="s">
        <v>51</v>
      </c>
      <c r="Q15" s="18" t="s">
        <v>120</v>
      </c>
      <c r="S15" t="s">
        <v>71</v>
      </c>
      <c r="AA15" s="20" t="s">
        <v>156</v>
      </c>
      <c r="AB15" s="21">
        <v>1</v>
      </c>
      <c r="AH15">
        <v>1000179</v>
      </c>
      <c r="AI15" t="s">
        <v>157</v>
      </c>
      <c r="AJ15" t="s">
        <v>60</v>
      </c>
      <c r="AK15" t="s">
        <v>61</v>
      </c>
      <c r="AL15" t="s">
        <v>61</v>
      </c>
      <c r="AM15" t="s">
        <v>62</v>
      </c>
      <c r="AN15" t="s">
        <v>63</v>
      </c>
      <c r="AP15" s="22" t="s">
        <v>7</v>
      </c>
      <c r="AQ15" s="22" t="s">
        <v>158</v>
      </c>
      <c r="AR15" s="23" t="s">
        <v>65</v>
      </c>
      <c r="AS15" s="23" t="s">
        <v>51</v>
      </c>
      <c r="AT15" s="23" t="s">
        <v>66</v>
      </c>
      <c r="AU15" s="23" t="s">
        <v>109</v>
      </c>
      <c r="AV15" s="24">
        <v>30642.490587499993</v>
      </c>
      <c r="AW15" s="24">
        <v>20596.375625000001</v>
      </c>
      <c r="AX15" s="25">
        <v>1.4877613006001871</v>
      </c>
      <c r="AY15" s="24">
        <v>30642.490587499993</v>
      </c>
      <c r="AZ15" s="24">
        <v>10046.114962499993</v>
      </c>
      <c r="BA15" s="26">
        <v>0.32784916532202868</v>
      </c>
      <c r="BB15" s="27">
        <v>0.32784916532202868</v>
      </c>
    </row>
    <row r="16" spans="1:54" x14ac:dyDescent="0.35">
      <c r="A16" t="s">
        <v>159</v>
      </c>
      <c r="B16" s="16"/>
      <c r="E16" s="16">
        <v>10.463422117499999</v>
      </c>
      <c r="F16" s="16">
        <v>13.079277646874999</v>
      </c>
      <c r="K16" s="1" t="s">
        <v>160</v>
      </c>
      <c r="L16" s="1"/>
      <c r="M16" s="17" t="s">
        <v>161</v>
      </c>
      <c r="N16" s="1" t="s">
        <v>7</v>
      </c>
      <c r="O16" t="s">
        <v>71</v>
      </c>
      <c r="P16" t="s">
        <v>51</v>
      </c>
      <c r="Q16" s="18" t="s">
        <v>120</v>
      </c>
      <c r="S16" t="s">
        <v>71</v>
      </c>
      <c r="AA16" s="20" t="s">
        <v>162</v>
      </c>
      <c r="AB16" s="21">
        <v>1.4</v>
      </c>
      <c r="AH16">
        <v>1000181</v>
      </c>
      <c r="AI16" t="s">
        <v>163</v>
      </c>
      <c r="AJ16" t="s">
        <v>60</v>
      </c>
      <c r="AK16" t="s">
        <v>61</v>
      </c>
      <c r="AL16" t="s">
        <v>61</v>
      </c>
      <c r="AM16" t="s">
        <v>62</v>
      </c>
      <c r="AN16" t="s">
        <v>63</v>
      </c>
      <c r="AP16" s="30" t="s">
        <v>7</v>
      </c>
      <c r="AQ16" s="30" t="s">
        <v>164</v>
      </c>
      <c r="AR16" s="31" t="s">
        <v>137</v>
      </c>
      <c r="AS16" s="44" t="s">
        <v>165</v>
      </c>
      <c r="AT16" s="44" t="s">
        <v>82</v>
      </c>
      <c r="AU16" s="31" t="s">
        <v>138</v>
      </c>
      <c r="AV16" s="32">
        <v>4936.333333333333</v>
      </c>
      <c r="AW16" s="32">
        <v>3541.6169822880001</v>
      </c>
      <c r="AX16" s="33">
        <v>1.393807788369114</v>
      </c>
      <c r="AY16" s="32">
        <v>4936.333333333333</v>
      </c>
      <c r="AZ16" s="32">
        <v>1394.7163510453329</v>
      </c>
      <c r="BA16" s="34">
        <v>0.28254095841285698</v>
      </c>
      <c r="BB16" s="35">
        <v>0.28254095841285698</v>
      </c>
    </row>
    <row r="17" spans="1:54" x14ac:dyDescent="0.35">
      <c r="A17" s="45" t="s">
        <v>166</v>
      </c>
      <c r="B17" s="16"/>
      <c r="E17" s="16" t="e">
        <v>#N/A</v>
      </c>
      <c r="F17" s="16" t="e">
        <v>#N/A</v>
      </c>
      <c r="K17" s="1" t="s">
        <v>167</v>
      </c>
      <c r="L17" s="1"/>
      <c r="M17" s="1" t="s">
        <v>168</v>
      </c>
      <c r="N17" s="1" t="s">
        <v>7</v>
      </c>
      <c r="O17" t="s">
        <v>50</v>
      </c>
      <c r="P17" t="s">
        <v>51</v>
      </c>
      <c r="Q17" s="18" t="s">
        <v>52</v>
      </c>
      <c r="S17" t="s">
        <v>71</v>
      </c>
      <c r="AA17" s="20" t="s">
        <v>169</v>
      </c>
      <c r="AB17" s="21">
        <v>1</v>
      </c>
      <c r="AH17">
        <v>57188</v>
      </c>
      <c r="AI17" t="s">
        <v>170</v>
      </c>
      <c r="AJ17" t="s">
        <v>60</v>
      </c>
      <c r="AK17" t="s">
        <v>61</v>
      </c>
      <c r="AL17" t="s">
        <v>61</v>
      </c>
      <c r="AM17" t="s">
        <v>171</v>
      </c>
      <c r="AN17" t="s">
        <v>63</v>
      </c>
      <c r="AP17" s="22" t="s">
        <v>7</v>
      </c>
      <c r="AQ17" s="22" t="s">
        <v>172</v>
      </c>
      <c r="AR17" s="23" t="s">
        <v>151</v>
      </c>
      <c r="AS17" s="23" t="s">
        <v>51</v>
      </c>
      <c r="AT17" s="23" t="s">
        <v>54</v>
      </c>
      <c r="AU17" s="23" t="s">
        <v>152</v>
      </c>
      <c r="AV17" s="24">
        <v>3939</v>
      </c>
      <c r="AW17" s="24">
        <v>0</v>
      </c>
      <c r="AX17" s="25"/>
      <c r="AY17" s="24"/>
      <c r="AZ17" s="24">
        <v>3939</v>
      </c>
      <c r="BA17" s="41"/>
      <c r="BB17" s="27">
        <v>1</v>
      </c>
    </row>
    <row r="18" spans="1:54" x14ac:dyDescent="0.35">
      <c r="A18" t="s">
        <v>173</v>
      </c>
      <c r="B18" s="16">
        <v>6.18</v>
      </c>
      <c r="C18" s="16"/>
      <c r="D18" s="16">
        <v>5.5064986994531244</v>
      </c>
      <c r="E18" s="16">
        <v>20.926844234999997</v>
      </c>
      <c r="F18" s="16">
        <v>26.158555293749998</v>
      </c>
      <c r="K18" s="1" t="s">
        <v>174</v>
      </c>
      <c r="L18" s="1"/>
      <c r="M18" s="17" t="s">
        <v>175</v>
      </c>
      <c r="N18" s="1" t="s">
        <v>7</v>
      </c>
      <c r="O18" t="s">
        <v>50</v>
      </c>
      <c r="P18" t="s">
        <v>51</v>
      </c>
      <c r="Q18" s="18" t="s">
        <v>52</v>
      </c>
      <c r="S18" t="s">
        <v>50</v>
      </c>
      <c r="AA18" s="20" t="s">
        <v>176</v>
      </c>
      <c r="AB18" s="21">
        <v>1</v>
      </c>
      <c r="AH18">
        <v>1000196</v>
      </c>
      <c r="AI18" t="s">
        <v>177</v>
      </c>
      <c r="AJ18" t="s">
        <v>60</v>
      </c>
      <c r="AK18" t="s">
        <v>61</v>
      </c>
      <c r="AL18" t="s">
        <v>61</v>
      </c>
      <c r="AM18" t="s">
        <v>62</v>
      </c>
      <c r="AN18" t="s">
        <v>63</v>
      </c>
      <c r="AP18" s="30" t="s">
        <v>7</v>
      </c>
      <c r="AQ18" s="30" t="s">
        <v>178</v>
      </c>
      <c r="AR18" s="31" t="s">
        <v>179</v>
      </c>
      <c r="AS18" s="44" t="s">
        <v>165</v>
      </c>
      <c r="AT18" s="44" t="s">
        <v>54</v>
      </c>
      <c r="AU18" s="31" t="s">
        <v>180</v>
      </c>
      <c r="AV18" s="32">
        <v>24207.749999999996</v>
      </c>
      <c r="AW18" s="32">
        <v>9253.44</v>
      </c>
      <c r="AX18" s="33">
        <v>2.6160811546840952</v>
      </c>
      <c r="AY18" s="32">
        <v>24207.749999999996</v>
      </c>
      <c r="AZ18" s="32">
        <v>14954.309999999996</v>
      </c>
      <c r="BA18" s="34">
        <v>0.61774886141834739</v>
      </c>
      <c r="BB18" s="35">
        <v>0.61774886141834739</v>
      </c>
    </row>
    <row r="19" spans="1:54" x14ac:dyDescent="0.35">
      <c r="A19" t="s">
        <v>181</v>
      </c>
      <c r="B19" s="16">
        <v>5.15</v>
      </c>
      <c r="C19" s="16"/>
      <c r="D19" s="16">
        <v>5.2401713113749988</v>
      </c>
      <c r="E19" s="16">
        <v>20.926844234999997</v>
      </c>
      <c r="F19" s="16">
        <v>26.158555293749998</v>
      </c>
      <c r="K19" s="1" t="s">
        <v>182</v>
      </c>
      <c r="L19" s="1"/>
      <c r="M19" s="17" t="s">
        <v>183</v>
      </c>
      <c r="N19" s="1" t="s">
        <v>7</v>
      </c>
      <c r="O19" t="s">
        <v>71</v>
      </c>
      <c r="P19" t="s">
        <v>165</v>
      </c>
      <c r="Q19" s="18" t="s">
        <v>120</v>
      </c>
      <c r="S19" t="s">
        <v>50</v>
      </c>
      <c r="AA19" s="20" t="s">
        <v>184</v>
      </c>
      <c r="AB19" s="21">
        <v>1.4</v>
      </c>
      <c r="AH19">
        <v>1000165</v>
      </c>
      <c r="AI19" t="s">
        <v>185</v>
      </c>
      <c r="AJ19" t="s">
        <v>60</v>
      </c>
      <c r="AK19" t="s">
        <v>61</v>
      </c>
      <c r="AL19" t="s">
        <v>61</v>
      </c>
      <c r="AM19" t="s">
        <v>62</v>
      </c>
      <c r="AN19" t="s">
        <v>63</v>
      </c>
      <c r="AP19" s="22" t="s">
        <v>7</v>
      </c>
      <c r="AQ19" s="22" t="s">
        <v>186</v>
      </c>
      <c r="AR19" s="23" t="s">
        <v>151</v>
      </c>
      <c r="AS19" s="23" t="s">
        <v>51</v>
      </c>
      <c r="AT19" s="23" t="s">
        <v>54</v>
      </c>
      <c r="AU19" s="23" t="s">
        <v>152</v>
      </c>
      <c r="AV19" s="24">
        <v>40814</v>
      </c>
      <c r="AW19" s="24">
        <v>24947.423999999999</v>
      </c>
      <c r="AX19" s="25">
        <v>1.6360005746485089</v>
      </c>
      <c r="AY19" s="24">
        <v>40814</v>
      </c>
      <c r="AZ19" s="24">
        <v>15866.576000000001</v>
      </c>
      <c r="BA19" s="26">
        <v>0.38875327093644341</v>
      </c>
      <c r="BB19" s="27">
        <v>0.38875327093644341</v>
      </c>
    </row>
    <row r="20" spans="1:54" x14ac:dyDescent="0.35">
      <c r="A20" t="s">
        <v>187</v>
      </c>
      <c r="B20" s="16"/>
      <c r="C20">
        <v>4.95</v>
      </c>
      <c r="E20" s="16">
        <v>9.9402510116249996</v>
      </c>
      <c r="F20" s="16">
        <v>12.42531376453125</v>
      </c>
      <c r="G20">
        <v>3.7949999999999999</v>
      </c>
      <c r="K20" s="1" t="s">
        <v>188</v>
      </c>
      <c r="L20" s="1"/>
      <c r="M20" s="17" t="s">
        <v>189</v>
      </c>
      <c r="N20" s="1" t="s">
        <v>7</v>
      </c>
      <c r="O20" t="s">
        <v>71</v>
      </c>
      <c r="P20" t="s">
        <v>51</v>
      </c>
      <c r="Q20" s="18" t="s">
        <v>120</v>
      </c>
      <c r="S20" t="s">
        <v>71</v>
      </c>
      <c r="AA20" s="20" t="s">
        <v>190</v>
      </c>
      <c r="AB20" s="21">
        <v>1</v>
      </c>
      <c r="AH20">
        <v>1000186</v>
      </c>
      <c r="AI20" t="s">
        <v>191</v>
      </c>
      <c r="AJ20" t="s">
        <v>60</v>
      </c>
      <c r="AK20" t="s">
        <v>61</v>
      </c>
      <c r="AL20" t="s">
        <v>61</v>
      </c>
      <c r="AM20" t="s">
        <v>62</v>
      </c>
      <c r="AN20" t="s">
        <v>63</v>
      </c>
      <c r="AP20" s="30" t="s">
        <v>7</v>
      </c>
      <c r="AQ20" s="30" t="s">
        <v>186</v>
      </c>
      <c r="AR20" s="31" t="s">
        <v>192</v>
      </c>
      <c r="AS20" s="31" t="s">
        <v>51</v>
      </c>
      <c r="AT20" s="31" t="s">
        <v>54</v>
      </c>
      <c r="AU20" s="31" t="s">
        <v>193</v>
      </c>
      <c r="AV20" s="32">
        <v>9679</v>
      </c>
      <c r="AW20" s="32"/>
      <c r="AX20" s="33"/>
      <c r="AY20" s="31"/>
      <c r="AZ20" s="32">
        <v>9679</v>
      </c>
      <c r="BA20" s="39"/>
      <c r="BB20" s="35">
        <v>1</v>
      </c>
    </row>
    <row r="21" spans="1:54" x14ac:dyDescent="0.35">
      <c r="A21" s="46" t="s">
        <v>194</v>
      </c>
      <c r="B21" s="47"/>
      <c r="C21" s="46"/>
      <c r="D21" s="46"/>
      <c r="E21" s="47"/>
      <c r="F21" s="47"/>
      <c r="G21" s="46"/>
      <c r="H21" s="46"/>
      <c r="K21" s="1" t="s">
        <v>195</v>
      </c>
      <c r="L21" s="1"/>
      <c r="M21" s="1" t="s">
        <v>196</v>
      </c>
      <c r="N21" s="1" t="s">
        <v>7</v>
      </c>
      <c r="O21" t="s">
        <v>50</v>
      </c>
      <c r="P21" t="s">
        <v>51</v>
      </c>
      <c r="Q21" s="18" t="s">
        <v>52</v>
      </c>
      <c r="S21" t="e">
        <v>#N/A</v>
      </c>
      <c r="AA21" s="20" t="s">
        <v>197</v>
      </c>
      <c r="AB21" s="21">
        <v>1.2</v>
      </c>
      <c r="AH21">
        <v>77424</v>
      </c>
      <c r="AI21" t="s">
        <v>198</v>
      </c>
      <c r="AJ21" t="s">
        <v>60</v>
      </c>
      <c r="AK21" t="s">
        <v>61</v>
      </c>
      <c r="AL21" t="s">
        <v>61</v>
      </c>
      <c r="AM21" t="s">
        <v>171</v>
      </c>
      <c r="AN21" t="s">
        <v>63</v>
      </c>
      <c r="AP21" s="22" t="s">
        <v>7</v>
      </c>
      <c r="AQ21" s="22" t="s">
        <v>186</v>
      </c>
      <c r="AR21" s="23" t="s">
        <v>199</v>
      </c>
      <c r="AS21" s="44" t="s">
        <v>165</v>
      </c>
      <c r="AT21" s="44" t="s">
        <v>82</v>
      </c>
      <c r="AU21" s="23" t="s">
        <v>152</v>
      </c>
      <c r="AV21" s="24">
        <v>3326.6666666666665</v>
      </c>
      <c r="AW21" s="24"/>
      <c r="AX21" s="25"/>
      <c r="AY21" s="23"/>
      <c r="AZ21" s="24">
        <v>3326.6666666666665</v>
      </c>
      <c r="BA21" s="41"/>
      <c r="BB21" s="27">
        <v>1</v>
      </c>
    </row>
    <row r="22" spans="1:54" x14ac:dyDescent="0.35">
      <c r="A22" t="s">
        <v>200</v>
      </c>
      <c r="B22" s="16">
        <v>4.12</v>
      </c>
      <c r="C22" s="16"/>
      <c r="D22" s="16"/>
      <c r="E22" s="16">
        <v>19.108731881249998</v>
      </c>
      <c r="F22" s="16">
        <v>23.885914851562497</v>
      </c>
      <c r="K22" s="1" t="s">
        <v>201</v>
      </c>
      <c r="L22" s="1"/>
      <c r="M22" s="17" t="s">
        <v>202</v>
      </c>
      <c r="N22" s="1" t="s">
        <v>7</v>
      </c>
      <c r="O22" t="s">
        <v>71</v>
      </c>
      <c r="P22" t="s">
        <v>51</v>
      </c>
      <c r="Q22" s="18" t="s">
        <v>120</v>
      </c>
      <c r="S22" t="s">
        <v>50</v>
      </c>
      <c r="AA22" s="20" t="s">
        <v>203</v>
      </c>
      <c r="AB22" s="21">
        <v>1</v>
      </c>
      <c r="AH22">
        <v>77441</v>
      </c>
      <c r="AI22" t="s">
        <v>204</v>
      </c>
      <c r="AJ22" t="s">
        <v>60</v>
      </c>
      <c r="AK22" t="s">
        <v>61</v>
      </c>
      <c r="AL22" t="s">
        <v>61</v>
      </c>
      <c r="AM22" t="s">
        <v>171</v>
      </c>
      <c r="AN22" t="s">
        <v>63</v>
      </c>
      <c r="AP22" s="30" t="s">
        <v>7</v>
      </c>
      <c r="AQ22" s="30" t="s">
        <v>186</v>
      </c>
      <c r="AR22" s="31" t="s">
        <v>205</v>
      </c>
      <c r="AS22" s="31" t="s">
        <v>51</v>
      </c>
      <c r="AT22" s="31" t="s">
        <v>54</v>
      </c>
      <c r="AU22" s="31" t="s">
        <v>152</v>
      </c>
      <c r="AV22" s="32">
        <v>2519.7000000000003</v>
      </c>
      <c r="AW22" s="32"/>
      <c r="AX22" s="33"/>
      <c r="AY22" s="31"/>
      <c r="AZ22" s="32">
        <v>2519.7000000000003</v>
      </c>
      <c r="BA22" s="39"/>
      <c r="BB22" s="35">
        <v>1</v>
      </c>
    </row>
    <row r="23" spans="1:54" x14ac:dyDescent="0.35">
      <c r="A23" s="48" t="s">
        <v>206</v>
      </c>
      <c r="B23" s="16">
        <v>7.21</v>
      </c>
      <c r="C23" s="16"/>
      <c r="D23" s="16">
        <v>5.19</v>
      </c>
      <c r="E23" s="16">
        <v>17.805013806787496</v>
      </c>
      <c r="F23" s="16">
        <v>17.805013806787496</v>
      </c>
      <c r="K23" s="1" t="s">
        <v>207</v>
      </c>
      <c r="L23" s="1"/>
      <c r="M23" s="17" t="s">
        <v>208</v>
      </c>
      <c r="N23" s="1" t="s">
        <v>7</v>
      </c>
      <c r="O23" t="s">
        <v>71</v>
      </c>
      <c r="P23" t="s">
        <v>51</v>
      </c>
      <c r="Q23" s="18" t="s">
        <v>120</v>
      </c>
      <c r="S23" t="s">
        <v>71</v>
      </c>
      <c r="AA23" s="20" t="s">
        <v>209</v>
      </c>
      <c r="AB23" s="21">
        <v>1.2</v>
      </c>
      <c r="AH23">
        <v>77471</v>
      </c>
      <c r="AI23" t="s">
        <v>210</v>
      </c>
      <c r="AJ23" t="s">
        <v>60</v>
      </c>
      <c r="AK23" t="s">
        <v>61</v>
      </c>
      <c r="AL23" t="s">
        <v>61</v>
      </c>
      <c r="AM23" t="s">
        <v>171</v>
      </c>
      <c r="AN23" t="s">
        <v>63</v>
      </c>
      <c r="AP23" s="22" t="s">
        <v>7</v>
      </c>
      <c r="AQ23" s="22" t="s">
        <v>186</v>
      </c>
      <c r="AR23" s="23" t="s">
        <v>211</v>
      </c>
      <c r="AS23" s="23" t="s">
        <v>51</v>
      </c>
      <c r="AT23" s="23" t="s">
        <v>54</v>
      </c>
      <c r="AU23" s="23" t="s">
        <v>152</v>
      </c>
      <c r="AV23" s="24">
        <v>756</v>
      </c>
      <c r="AW23" s="24"/>
      <c r="AX23" s="25"/>
      <c r="AY23" s="23"/>
      <c r="AZ23" s="24">
        <v>756</v>
      </c>
      <c r="BA23" s="41"/>
      <c r="BB23" s="27">
        <v>1</v>
      </c>
    </row>
    <row r="24" spans="1:54" x14ac:dyDescent="0.35">
      <c r="A24" s="48" t="s">
        <v>212</v>
      </c>
      <c r="B24" s="16">
        <v>7.21</v>
      </c>
      <c r="C24" s="16"/>
      <c r="D24" s="16">
        <v>5.19</v>
      </c>
      <c r="E24" s="16">
        <v>17.805013806787496</v>
      </c>
      <c r="F24" s="16">
        <v>17.805013806787496</v>
      </c>
      <c r="K24" s="1" t="s">
        <v>213</v>
      </c>
      <c r="L24" s="1"/>
      <c r="M24" s="17" t="s">
        <v>214</v>
      </c>
      <c r="N24" s="1" t="s">
        <v>7</v>
      </c>
      <c r="O24" t="s">
        <v>71</v>
      </c>
      <c r="P24" t="s">
        <v>51</v>
      </c>
      <c r="Q24" s="18" t="s">
        <v>120</v>
      </c>
      <c r="S24" t="s">
        <v>71</v>
      </c>
      <c r="AA24" s="20" t="s">
        <v>215</v>
      </c>
      <c r="AB24" s="21">
        <v>1.2</v>
      </c>
      <c r="AH24">
        <v>1000188</v>
      </c>
      <c r="AI24" t="s">
        <v>216</v>
      </c>
      <c r="AJ24" t="s">
        <v>60</v>
      </c>
      <c r="AK24" t="s">
        <v>61</v>
      </c>
      <c r="AL24" t="s">
        <v>61</v>
      </c>
      <c r="AM24" t="s">
        <v>62</v>
      </c>
      <c r="AN24" t="s">
        <v>63</v>
      </c>
      <c r="AP24" s="30" t="s">
        <v>7</v>
      </c>
      <c r="AQ24" s="30" t="s">
        <v>217</v>
      </c>
      <c r="AR24" s="31" t="s">
        <v>65</v>
      </c>
      <c r="AS24" s="31" t="s">
        <v>51</v>
      </c>
      <c r="AT24" s="31" t="s">
        <v>66</v>
      </c>
      <c r="AU24" s="31" t="s">
        <v>109</v>
      </c>
      <c r="AV24" s="32">
        <v>35435.071878816183</v>
      </c>
      <c r="AW24" s="32">
        <v>24418.332312500002</v>
      </c>
      <c r="AX24" s="33">
        <v>1.4511667473980847</v>
      </c>
      <c r="AY24" s="32">
        <v>35435.071878816183</v>
      </c>
      <c r="AZ24" s="32">
        <v>11016.739566316181</v>
      </c>
      <c r="BA24" s="34">
        <v>0.31089931478034377</v>
      </c>
      <c r="BB24" s="35">
        <v>0.31089931478034377</v>
      </c>
    </row>
    <row r="25" spans="1:54" x14ac:dyDescent="0.35">
      <c r="A25" s="45" t="s">
        <v>218</v>
      </c>
      <c r="B25" s="16"/>
      <c r="D25">
        <v>3.7949999999999999</v>
      </c>
      <c r="E25" s="16" t="e">
        <v>#N/A</v>
      </c>
      <c r="F25" s="16" t="e">
        <v>#N/A</v>
      </c>
      <c r="G25">
        <v>3.7949999999999999</v>
      </c>
      <c r="K25" s="1" t="s">
        <v>219</v>
      </c>
      <c r="L25" s="1"/>
      <c r="M25" s="1" t="s">
        <v>220</v>
      </c>
      <c r="N25" s="1" t="s">
        <v>7</v>
      </c>
      <c r="O25" t="s">
        <v>71</v>
      </c>
      <c r="P25" t="s">
        <v>51</v>
      </c>
      <c r="Q25" s="18" t="s">
        <v>120</v>
      </c>
      <c r="S25" t="s">
        <v>71</v>
      </c>
      <c r="AA25" t="s">
        <v>221</v>
      </c>
      <c r="AB25" s="21">
        <v>1.4</v>
      </c>
      <c r="AH25">
        <v>77683</v>
      </c>
      <c r="AI25" t="s">
        <v>222</v>
      </c>
      <c r="AJ25" t="s">
        <v>60</v>
      </c>
      <c r="AK25" t="s">
        <v>61</v>
      </c>
      <c r="AL25" t="s">
        <v>61</v>
      </c>
      <c r="AM25" t="s">
        <v>126</v>
      </c>
      <c r="AN25" t="s">
        <v>63</v>
      </c>
      <c r="AP25" s="22" t="s">
        <v>7</v>
      </c>
      <c r="AQ25" s="22" t="s">
        <v>217</v>
      </c>
      <c r="AR25" s="23" t="s">
        <v>116</v>
      </c>
      <c r="AS25" s="23" t="s">
        <v>51</v>
      </c>
      <c r="AT25" s="23" t="s">
        <v>54</v>
      </c>
      <c r="AU25" s="23" t="s">
        <v>109</v>
      </c>
      <c r="AV25" s="24">
        <v>24804.550315171324</v>
      </c>
      <c r="AW25" s="24"/>
      <c r="AX25" s="25"/>
      <c r="AY25" s="23"/>
      <c r="AZ25" s="24">
        <v>24804.550315171324</v>
      </c>
      <c r="BA25" s="41"/>
      <c r="BB25" s="27">
        <v>1</v>
      </c>
    </row>
    <row r="26" spans="1:54" x14ac:dyDescent="0.35">
      <c r="A26" t="s">
        <v>223</v>
      </c>
      <c r="B26" s="16">
        <v>7</v>
      </c>
      <c r="C26" s="16"/>
      <c r="D26" s="16">
        <v>5.1883454412624994</v>
      </c>
      <c r="E26" s="16"/>
      <c r="F26" s="16"/>
      <c r="K26" s="1" t="s">
        <v>224</v>
      </c>
      <c r="L26" s="1"/>
      <c r="M26" s="17" t="s">
        <v>225</v>
      </c>
      <c r="N26" s="1" t="s">
        <v>7</v>
      </c>
      <c r="O26" t="s">
        <v>50</v>
      </c>
      <c r="P26" t="s">
        <v>165</v>
      </c>
      <c r="Q26" s="18" t="s">
        <v>52</v>
      </c>
      <c r="S26" t="s">
        <v>71</v>
      </c>
      <c r="AA26" s="46" t="s">
        <v>226</v>
      </c>
      <c r="AB26" s="49">
        <v>1</v>
      </c>
      <c r="AH26">
        <v>1000192</v>
      </c>
      <c r="AI26" t="s">
        <v>227</v>
      </c>
      <c r="AJ26" t="s">
        <v>60</v>
      </c>
      <c r="AK26" t="s">
        <v>61</v>
      </c>
      <c r="AL26" t="s">
        <v>61</v>
      </c>
      <c r="AM26" t="s">
        <v>62</v>
      </c>
      <c r="AN26" t="s">
        <v>63</v>
      </c>
      <c r="AP26" s="30" t="s">
        <v>7</v>
      </c>
      <c r="AQ26" s="30" t="s">
        <v>228</v>
      </c>
      <c r="AR26" s="31" t="s">
        <v>65</v>
      </c>
      <c r="AS26" s="31" t="s">
        <v>51</v>
      </c>
      <c r="AT26" s="31" t="s">
        <v>66</v>
      </c>
      <c r="AU26" s="31" t="s">
        <v>109</v>
      </c>
      <c r="AV26" s="32">
        <v>37424.909613574986</v>
      </c>
      <c r="AW26" s="32">
        <v>32175.165750000004</v>
      </c>
      <c r="AX26" s="33">
        <v>1.1631613619138848</v>
      </c>
      <c r="AY26" s="32">
        <v>37424.909613574986</v>
      </c>
      <c r="AZ26" s="32">
        <v>5249.7438635749822</v>
      </c>
      <c r="BA26" s="34">
        <v>0.14027405591036521</v>
      </c>
      <c r="BB26" s="35">
        <v>0.14027405591036521</v>
      </c>
    </row>
    <row r="27" spans="1:54" x14ac:dyDescent="0.35">
      <c r="A27" t="s">
        <v>229</v>
      </c>
      <c r="B27" s="16">
        <v>7</v>
      </c>
      <c r="C27" s="16"/>
      <c r="D27" s="16">
        <v>5.1883454412624994</v>
      </c>
      <c r="E27" s="16"/>
      <c r="F27" s="16"/>
      <c r="K27" s="1" t="s">
        <v>230</v>
      </c>
      <c r="L27" s="1"/>
      <c r="M27" s="17" t="s">
        <v>231</v>
      </c>
      <c r="N27" s="1" t="s">
        <v>7</v>
      </c>
      <c r="O27" t="s">
        <v>50</v>
      </c>
      <c r="P27" t="s">
        <v>51</v>
      </c>
      <c r="Q27" s="18" t="s">
        <v>52</v>
      </c>
      <c r="S27" t="s">
        <v>50</v>
      </c>
      <c r="AA27" s="50" t="s">
        <v>232</v>
      </c>
      <c r="AB27" s="49">
        <v>1</v>
      </c>
      <c r="AH27">
        <v>1000194</v>
      </c>
      <c r="AI27" t="s">
        <v>233</v>
      </c>
      <c r="AJ27" t="s">
        <v>60</v>
      </c>
      <c r="AK27" t="s">
        <v>61</v>
      </c>
      <c r="AL27" t="s">
        <v>61</v>
      </c>
      <c r="AM27" t="s">
        <v>62</v>
      </c>
      <c r="AN27" t="s">
        <v>63</v>
      </c>
      <c r="AP27" s="22" t="s">
        <v>7</v>
      </c>
      <c r="AQ27" s="22" t="s">
        <v>228</v>
      </c>
      <c r="AR27" s="23" t="s">
        <v>116</v>
      </c>
      <c r="AS27" s="23" t="s">
        <v>51</v>
      </c>
      <c r="AT27" s="23" t="s">
        <v>54</v>
      </c>
      <c r="AU27" s="23" t="s">
        <v>109</v>
      </c>
      <c r="AV27" s="24">
        <v>26197.436503993376</v>
      </c>
      <c r="AW27" s="24"/>
      <c r="AX27" s="25"/>
      <c r="AY27" s="23"/>
      <c r="AZ27" s="24">
        <v>26197.436503993376</v>
      </c>
      <c r="BA27" s="41"/>
      <c r="BB27" s="27">
        <v>1</v>
      </c>
    </row>
    <row r="28" spans="1:54" x14ac:dyDescent="0.35">
      <c r="A28" t="s">
        <v>234</v>
      </c>
      <c r="B28" s="16">
        <v>7.21</v>
      </c>
      <c r="C28" s="16">
        <v>4.9486040999999998</v>
      </c>
      <c r="D28" s="16">
        <v>5.5064986994531244</v>
      </c>
      <c r="E28" s="16">
        <v>17</v>
      </c>
      <c r="F28" s="16">
        <v>21.25</v>
      </c>
      <c r="K28" s="1" t="s">
        <v>235</v>
      </c>
      <c r="L28" s="1"/>
      <c r="M28" s="17" t="s">
        <v>236</v>
      </c>
      <c r="N28" s="1" t="s">
        <v>7</v>
      </c>
      <c r="O28" t="s">
        <v>50</v>
      </c>
      <c r="P28" t="s">
        <v>51</v>
      </c>
      <c r="Q28" s="18" t="s">
        <v>52</v>
      </c>
      <c r="S28" t="s">
        <v>50</v>
      </c>
      <c r="AA28" s="46" t="s">
        <v>237</v>
      </c>
      <c r="AB28" s="49">
        <v>1</v>
      </c>
      <c r="AH28">
        <v>1000018</v>
      </c>
      <c r="AI28" t="s">
        <v>238</v>
      </c>
      <c r="AJ28" t="s">
        <v>60</v>
      </c>
      <c r="AK28" t="s">
        <v>61</v>
      </c>
      <c r="AL28" t="s">
        <v>61</v>
      </c>
      <c r="AM28" t="s">
        <v>239</v>
      </c>
      <c r="AN28" t="s">
        <v>63</v>
      </c>
      <c r="AP28" s="30" t="s">
        <v>7</v>
      </c>
      <c r="AQ28" s="30" t="s">
        <v>240</v>
      </c>
      <c r="AR28" s="31" t="s">
        <v>241</v>
      </c>
      <c r="AS28" s="31" t="s">
        <v>51</v>
      </c>
      <c r="AT28" s="31" t="s">
        <v>82</v>
      </c>
      <c r="AU28" s="31" t="s">
        <v>180</v>
      </c>
      <c r="AV28" s="32">
        <v>23462.9</v>
      </c>
      <c r="AW28" s="32">
        <v>16901.28</v>
      </c>
      <c r="AX28" s="33">
        <v>1.3882321338975512</v>
      </c>
      <c r="AY28" s="32">
        <v>23462.9</v>
      </c>
      <c r="AZ28" s="32">
        <v>6561.6200000000026</v>
      </c>
      <c r="BA28" s="34">
        <v>0.27965937714434286</v>
      </c>
      <c r="BB28" s="35">
        <v>0.27965937714434286</v>
      </c>
    </row>
    <row r="29" spans="1:54" x14ac:dyDescent="0.35">
      <c r="A29" s="46" t="s">
        <v>242</v>
      </c>
      <c r="B29" s="46">
        <v>0</v>
      </c>
      <c r="C29" s="46"/>
      <c r="D29" s="46"/>
      <c r="E29" s="51"/>
      <c r="F29" s="51"/>
      <c r="G29" s="46"/>
      <c r="H29" s="46"/>
      <c r="K29" s="1" t="s">
        <v>243</v>
      </c>
      <c r="L29" s="1"/>
      <c r="M29" s="17" t="s">
        <v>244</v>
      </c>
      <c r="N29" s="1" t="s">
        <v>7</v>
      </c>
      <c r="O29" t="s">
        <v>71</v>
      </c>
      <c r="P29" t="s">
        <v>51</v>
      </c>
      <c r="Q29" s="18" t="s">
        <v>120</v>
      </c>
      <c r="S29" t="s">
        <v>50</v>
      </c>
      <c r="AA29" s="50" t="s">
        <v>245</v>
      </c>
      <c r="AB29" s="49">
        <v>1</v>
      </c>
      <c r="AH29">
        <v>1000225</v>
      </c>
      <c r="AI29" t="s">
        <v>246</v>
      </c>
      <c r="AJ29" t="s">
        <v>60</v>
      </c>
      <c r="AK29" t="s">
        <v>61</v>
      </c>
      <c r="AL29" t="s">
        <v>61</v>
      </c>
      <c r="AM29" t="s">
        <v>62</v>
      </c>
      <c r="AN29" t="s">
        <v>63</v>
      </c>
      <c r="AP29" s="22" t="s">
        <v>7</v>
      </c>
      <c r="AQ29" s="52" t="s">
        <v>247</v>
      </c>
      <c r="AR29" s="23" t="s">
        <v>65</v>
      </c>
      <c r="AS29" s="44" t="s">
        <v>51</v>
      </c>
      <c r="AT29" s="44" t="s">
        <v>66</v>
      </c>
      <c r="AU29" s="23" t="s">
        <v>109</v>
      </c>
      <c r="AV29" s="24">
        <v>37424.919999999991</v>
      </c>
      <c r="AW29" s="24">
        <v>27461.8806</v>
      </c>
      <c r="AX29" s="25">
        <v>1.3627952340598259</v>
      </c>
      <c r="AY29" s="24">
        <v>37424.919999999991</v>
      </c>
      <c r="AZ29" s="24">
        <v>9963.0393999999906</v>
      </c>
      <c r="BA29" s="26">
        <v>0.26621404668333276</v>
      </c>
      <c r="BB29" s="27">
        <v>0.26621404668333276</v>
      </c>
    </row>
    <row r="30" spans="1:54" x14ac:dyDescent="0.35">
      <c r="A30" t="s">
        <v>248</v>
      </c>
      <c r="B30" s="16">
        <v>6.18</v>
      </c>
      <c r="C30" s="16"/>
      <c r="D30" s="16"/>
      <c r="E30" s="16">
        <v>19.108731881249998</v>
      </c>
      <c r="F30" s="16">
        <v>23.885914851562497</v>
      </c>
      <c r="K30" s="1" t="s">
        <v>249</v>
      </c>
      <c r="L30" s="1"/>
      <c r="M30" s="17" t="s">
        <v>250</v>
      </c>
      <c r="N30" s="1" t="s">
        <v>8</v>
      </c>
      <c r="O30" t="s">
        <v>71</v>
      </c>
      <c r="P30" t="s">
        <v>51</v>
      </c>
      <c r="Q30" s="18" t="s">
        <v>120</v>
      </c>
      <c r="S30" t="s">
        <v>71</v>
      </c>
      <c r="AH30">
        <v>1000195</v>
      </c>
      <c r="AI30" t="s">
        <v>251</v>
      </c>
      <c r="AJ30" t="s">
        <v>60</v>
      </c>
      <c r="AK30" t="s">
        <v>61</v>
      </c>
      <c r="AL30" t="s">
        <v>61</v>
      </c>
      <c r="AM30" t="s">
        <v>62</v>
      </c>
      <c r="AN30" t="s">
        <v>63</v>
      </c>
      <c r="AP30" s="30" t="s">
        <v>7</v>
      </c>
      <c r="AQ30" s="52" t="s">
        <v>247</v>
      </c>
      <c r="AR30" s="31" t="s">
        <v>179</v>
      </c>
      <c r="AS30" s="31" t="s">
        <v>51</v>
      </c>
      <c r="AT30" s="31" t="s">
        <v>54</v>
      </c>
      <c r="AU30" s="31" t="s">
        <v>79</v>
      </c>
      <c r="AV30" s="32">
        <v>30040.98</v>
      </c>
      <c r="AW30" s="32">
        <v>3970.2297599999988</v>
      </c>
      <c r="AX30" s="33"/>
      <c r="AY30" s="32"/>
      <c r="AZ30" s="32">
        <v>30040.98</v>
      </c>
      <c r="BA30" s="39"/>
      <c r="BB30" s="35">
        <v>0.86783953918946721</v>
      </c>
    </row>
    <row r="31" spans="1:54" x14ac:dyDescent="0.35">
      <c r="A31" t="s">
        <v>252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K31" s="1" t="s">
        <v>253</v>
      </c>
      <c r="L31" s="1"/>
      <c r="M31" s="17" t="s">
        <v>254</v>
      </c>
      <c r="N31" s="1" t="s">
        <v>8</v>
      </c>
      <c r="O31" t="s">
        <v>71</v>
      </c>
      <c r="P31" t="s">
        <v>51</v>
      </c>
      <c r="Q31" s="18" t="s">
        <v>120</v>
      </c>
      <c r="S31" t="s">
        <v>71</v>
      </c>
      <c r="AA31" t="s">
        <v>255</v>
      </c>
      <c r="AB31">
        <v>1</v>
      </c>
      <c r="AH31">
        <v>1000207</v>
      </c>
      <c r="AI31" t="s">
        <v>256</v>
      </c>
      <c r="AJ31" t="s">
        <v>60</v>
      </c>
      <c r="AK31" t="s">
        <v>61</v>
      </c>
      <c r="AL31" t="s">
        <v>61</v>
      </c>
      <c r="AM31" t="s">
        <v>62</v>
      </c>
      <c r="AN31" t="s">
        <v>63</v>
      </c>
      <c r="AP31" s="22" t="s">
        <v>7</v>
      </c>
      <c r="AQ31" s="52" t="s">
        <v>247</v>
      </c>
      <c r="AR31" s="23" t="s">
        <v>65</v>
      </c>
      <c r="AS31" s="23" t="s">
        <v>51</v>
      </c>
      <c r="AT31" s="23" t="s">
        <v>66</v>
      </c>
      <c r="AU31" s="23" t="s">
        <v>67</v>
      </c>
      <c r="AV31" s="24">
        <v>31129.75</v>
      </c>
      <c r="AW31" s="24">
        <v>20561.774500000003</v>
      </c>
      <c r="AX31" s="25">
        <v>1.5139622312266869</v>
      </c>
      <c r="AY31" s="24">
        <v>31129.75</v>
      </c>
      <c r="AZ31" s="24">
        <v>10567.975499999997</v>
      </c>
      <c r="BA31" s="26">
        <v>0.33948154096965111</v>
      </c>
      <c r="BB31" s="27">
        <v>0.33948154096965111</v>
      </c>
    </row>
    <row r="32" spans="1:54" x14ac:dyDescent="0.35">
      <c r="A32" t="s">
        <v>257</v>
      </c>
      <c r="B32" s="16">
        <v>5.15</v>
      </c>
      <c r="C32" s="16"/>
      <c r="D32" s="16"/>
      <c r="E32" s="16"/>
      <c r="F32" s="16"/>
      <c r="K32" s="1" t="s">
        <v>258</v>
      </c>
      <c r="L32" s="1"/>
      <c r="M32" s="17" t="s">
        <v>259</v>
      </c>
      <c r="N32" s="1" t="s">
        <v>8</v>
      </c>
      <c r="O32" t="s">
        <v>71</v>
      </c>
      <c r="P32" t="s">
        <v>165</v>
      </c>
      <c r="Q32" s="18" t="s">
        <v>120</v>
      </c>
      <c r="S32" t="s">
        <v>71</v>
      </c>
      <c r="AH32">
        <v>1000240</v>
      </c>
      <c r="AI32" t="s">
        <v>260</v>
      </c>
      <c r="AJ32" t="s">
        <v>60</v>
      </c>
      <c r="AK32" t="s">
        <v>61</v>
      </c>
      <c r="AL32" t="s">
        <v>61</v>
      </c>
      <c r="AM32" t="s">
        <v>62</v>
      </c>
      <c r="AN32" t="s">
        <v>63</v>
      </c>
      <c r="AP32" s="30" t="s">
        <v>7</v>
      </c>
      <c r="AQ32" s="30" t="s">
        <v>261</v>
      </c>
      <c r="AR32" s="31" t="s">
        <v>262</v>
      </c>
      <c r="AS32" s="31" t="s">
        <v>165</v>
      </c>
      <c r="AT32" s="31" t="s">
        <v>82</v>
      </c>
      <c r="AU32" s="31"/>
      <c r="AV32" s="32">
        <v>45503</v>
      </c>
      <c r="AW32" s="32"/>
      <c r="AX32" s="33"/>
      <c r="AY32" s="31"/>
      <c r="AZ32" s="32">
        <v>45503</v>
      </c>
      <c r="BA32" s="39"/>
      <c r="BB32" s="35">
        <v>1</v>
      </c>
    </row>
    <row r="33" spans="1:54" x14ac:dyDescent="0.35">
      <c r="A33" t="s">
        <v>263</v>
      </c>
      <c r="B33" s="16">
        <v>7.21</v>
      </c>
      <c r="C33" s="16"/>
      <c r="D33" s="16">
        <v>5.5064986994531244</v>
      </c>
      <c r="E33" s="16">
        <v>18</v>
      </c>
      <c r="F33" s="16">
        <v>22.5</v>
      </c>
      <c r="K33" s="1" t="s">
        <v>264</v>
      </c>
      <c r="L33" s="1"/>
      <c r="M33" s="17" t="s">
        <v>155</v>
      </c>
      <c r="N33" s="1" t="s">
        <v>8</v>
      </c>
      <c r="O33" t="s">
        <v>50</v>
      </c>
      <c r="P33" t="s">
        <v>51</v>
      </c>
      <c r="Q33" s="18" t="s">
        <v>52</v>
      </c>
      <c r="S33" t="s">
        <v>71</v>
      </c>
      <c r="AI33" t="s">
        <v>265</v>
      </c>
      <c r="AJ33" t="s">
        <v>60</v>
      </c>
      <c r="AK33" t="s">
        <v>61</v>
      </c>
      <c r="AL33" t="s">
        <v>61</v>
      </c>
      <c r="AM33" t="s">
        <v>62</v>
      </c>
      <c r="AN33" t="s">
        <v>63</v>
      </c>
      <c r="AP33" s="22" t="s">
        <v>7</v>
      </c>
      <c r="AQ33" s="22" t="s">
        <v>261</v>
      </c>
      <c r="AR33" s="23" t="s">
        <v>78</v>
      </c>
      <c r="AS33" s="23" t="s">
        <v>51</v>
      </c>
      <c r="AT33" s="23" t="s">
        <v>66</v>
      </c>
      <c r="AU33" s="23" t="s">
        <v>79</v>
      </c>
      <c r="AV33" s="24">
        <v>6150.13</v>
      </c>
      <c r="AW33" s="24"/>
      <c r="AX33" s="25"/>
      <c r="AY33" s="23"/>
      <c r="AZ33" s="24">
        <v>6150.13</v>
      </c>
      <c r="BA33" s="41"/>
      <c r="BB33" s="27">
        <v>1</v>
      </c>
    </row>
    <row r="34" spans="1:54" x14ac:dyDescent="0.35">
      <c r="A34" s="46" t="s">
        <v>266</v>
      </c>
      <c r="B34" s="46"/>
      <c r="C34" s="46">
        <v>0</v>
      </c>
      <c r="D34" s="46"/>
      <c r="E34" s="51"/>
      <c r="F34" s="51"/>
      <c r="G34" s="46"/>
      <c r="H34" s="46"/>
      <c r="K34" s="1" t="s">
        <v>267</v>
      </c>
      <c r="L34" s="1"/>
      <c r="M34" s="17" t="s">
        <v>266</v>
      </c>
      <c r="N34" s="1" t="s">
        <v>8</v>
      </c>
      <c r="O34" t="s">
        <v>71</v>
      </c>
      <c r="P34" t="s">
        <v>51</v>
      </c>
      <c r="Q34" s="18" t="s">
        <v>268</v>
      </c>
      <c r="S34" t="s">
        <v>50</v>
      </c>
      <c r="AI34" t="s">
        <v>269</v>
      </c>
      <c r="AJ34" t="s">
        <v>60</v>
      </c>
      <c r="AK34" t="s">
        <v>61</v>
      </c>
      <c r="AL34" t="s">
        <v>61</v>
      </c>
      <c r="AM34" t="s">
        <v>62</v>
      </c>
      <c r="AN34" t="s">
        <v>63</v>
      </c>
      <c r="AP34" s="30" t="s">
        <v>7</v>
      </c>
      <c r="AQ34" s="30" t="s">
        <v>270</v>
      </c>
      <c r="AR34" s="31" t="s">
        <v>89</v>
      </c>
      <c r="AS34" s="31" t="s">
        <v>51</v>
      </c>
      <c r="AT34" s="31" t="s">
        <v>54</v>
      </c>
      <c r="AU34" s="31" t="s">
        <v>90</v>
      </c>
      <c r="AV34" s="32">
        <v>36004.649443696158</v>
      </c>
      <c r="AW34" s="32">
        <v>24501.657599999999</v>
      </c>
      <c r="AX34" s="33">
        <v>1.4694781076238761</v>
      </c>
      <c r="AY34" s="32">
        <v>36004.649443696158</v>
      </c>
      <c r="AZ34" s="32">
        <v>11502.99184369616</v>
      </c>
      <c r="BA34" s="34">
        <v>0.31948628917174893</v>
      </c>
      <c r="BB34" s="35">
        <v>0.31948628917174893</v>
      </c>
    </row>
    <row r="35" spans="1:54" x14ac:dyDescent="0.35">
      <c r="A35" t="s">
        <v>271</v>
      </c>
      <c r="B35" s="16"/>
      <c r="E35" s="16"/>
      <c r="F35" s="16"/>
      <c r="G35">
        <v>3.7949999999999999</v>
      </c>
      <c r="K35" s="1" t="s">
        <v>272</v>
      </c>
      <c r="L35" s="1"/>
      <c r="M35" s="17" t="s">
        <v>273</v>
      </c>
      <c r="N35" s="1" t="s">
        <v>8</v>
      </c>
      <c r="O35" t="s">
        <v>71</v>
      </c>
      <c r="P35" t="s">
        <v>51</v>
      </c>
      <c r="Q35" s="18" t="s">
        <v>120</v>
      </c>
      <c r="S35" t="s">
        <v>71</v>
      </c>
      <c r="AI35" t="s">
        <v>274</v>
      </c>
      <c r="AJ35" t="s">
        <v>60</v>
      </c>
      <c r="AK35" t="s">
        <v>61</v>
      </c>
      <c r="AL35" t="s">
        <v>61</v>
      </c>
      <c r="AM35" t="s">
        <v>62</v>
      </c>
      <c r="AN35" t="s">
        <v>63</v>
      </c>
      <c r="AP35" s="22" t="s">
        <v>7</v>
      </c>
      <c r="AQ35" s="22" t="s">
        <v>275</v>
      </c>
      <c r="AR35" s="23" t="s">
        <v>89</v>
      </c>
      <c r="AS35" s="23" t="s">
        <v>51</v>
      </c>
      <c r="AT35" s="23" t="s">
        <v>54</v>
      </c>
      <c r="AU35" s="23" t="s">
        <v>90</v>
      </c>
      <c r="AV35" s="24">
        <v>36004.649443696137</v>
      </c>
      <c r="AW35" s="24">
        <v>24501.657599999999</v>
      </c>
      <c r="AX35" s="25">
        <v>1.4694781076238752</v>
      </c>
      <c r="AY35" s="24">
        <v>36004.649443696137</v>
      </c>
      <c r="AZ35" s="24">
        <v>11502.991843696138</v>
      </c>
      <c r="BA35" s="26">
        <v>0.31948628917174848</v>
      </c>
      <c r="BB35" s="27">
        <v>0.31948628917174848</v>
      </c>
    </row>
    <row r="36" spans="1:54" x14ac:dyDescent="0.35">
      <c r="A36" t="s">
        <v>276</v>
      </c>
      <c r="B36" s="16">
        <v>8.24</v>
      </c>
      <c r="C36" s="16"/>
      <c r="D36" s="16">
        <v>5.8246519576437503</v>
      </c>
      <c r="E36" s="16">
        <v>19.305013806787496</v>
      </c>
      <c r="F36" s="16">
        <v>24.131267258484371</v>
      </c>
      <c r="K36" s="1" t="s">
        <v>277</v>
      </c>
      <c r="L36" s="1"/>
      <c r="M36" s="17" t="s">
        <v>278</v>
      </c>
      <c r="N36" s="1" t="s">
        <v>8</v>
      </c>
      <c r="O36" t="s">
        <v>71</v>
      </c>
      <c r="P36" t="s">
        <v>51</v>
      </c>
      <c r="Q36" s="18" t="s">
        <v>120</v>
      </c>
      <c r="S36" t="s">
        <v>71</v>
      </c>
      <c r="AI36" t="s">
        <v>279</v>
      </c>
      <c r="AJ36" t="s">
        <v>60</v>
      </c>
      <c r="AK36" t="s">
        <v>61</v>
      </c>
      <c r="AL36" t="s">
        <v>61</v>
      </c>
      <c r="AM36" t="s">
        <v>62</v>
      </c>
      <c r="AN36" t="s">
        <v>63</v>
      </c>
      <c r="AP36" s="30" t="s">
        <v>7</v>
      </c>
      <c r="AQ36" s="30" t="s">
        <v>280</v>
      </c>
      <c r="AR36" s="31" t="s">
        <v>89</v>
      </c>
      <c r="AS36" s="31" t="s">
        <v>51</v>
      </c>
      <c r="AT36" s="31" t="s">
        <v>54</v>
      </c>
      <c r="AU36" s="31" t="s">
        <v>90</v>
      </c>
      <c r="AV36" s="32">
        <v>36004.649443696144</v>
      </c>
      <c r="AW36" s="32">
        <v>24501.657599999999</v>
      </c>
      <c r="AX36" s="33">
        <v>1.4694781076238754</v>
      </c>
      <c r="AY36" s="32">
        <v>36004.649443696144</v>
      </c>
      <c r="AZ36" s="32">
        <v>11502.991843696145</v>
      </c>
      <c r="BA36" s="34">
        <v>0.31948628917174865</v>
      </c>
      <c r="BB36" s="35">
        <v>0.31948628917174865</v>
      </c>
    </row>
    <row r="37" spans="1:54" x14ac:dyDescent="0.35">
      <c r="A37" t="s">
        <v>281</v>
      </c>
      <c r="B37" s="16">
        <v>8.24</v>
      </c>
      <c r="C37" s="16"/>
      <c r="D37" s="16">
        <v>7.3638241231715975</v>
      </c>
      <c r="E37" s="16"/>
      <c r="F37" s="16"/>
      <c r="K37" s="1" t="s">
        <v>282</v>
      </c>
      <c r="L37" s="1"/>
      <c r="M37" s="17" t="s">
        <v>283</v>
      </c>
      <c r="N37" s="1" t="s">
        <v>8</v>
      </c>
      <c r="O37" t="s">
        <v>71</v>
      </c>
      <c r="P37" t="s">
        <v>51</v>
      </c>
      <c r="Q37" s="18" t="s">
        <v>132</v>
      </c>
      <c r="S37" t="s">
        <v>71</v>
      </c>
      <c r="AI37" t="s">
        <v>284</v>
      </c>
      <c r="AJ37" t="s">
        <v>60</v>
      </c>
      <c r="AK37" t="s">
        <v>61</v>
      </c>
      <c r="AL37" t="s">
        <v>61</v>
      </c>
      <c r="AM37" t="s">
        <v>62</v>
      </c>
      <c r="AN37" t="s">
        <v>63</v>
      </c>
      <c r="AP37" s="22" t="s">
        <v>7</v>
      </c>
      <c r="AQ37" s="22" t="s">
        <v>285</v>
      </c>
      <c r="AR37" s="23" t="s">
        <v>286</v>
      </c>
      <c r="AS37" s="23" t="s">
        <v>51</v>
      </c>
      <c r="AT37" s="23" t="s">
        <v>66</v>
      </c>
      <c r="AU37" s="23" t="s">
        <v>152</v>
      </c>
      <c r="AV37" s="53">
        <v>20436</v>
      </c>
      <c r="AW37" s="24">
        <v>13390.922694599998</v>
      </c>
      <c r="AX37" s="25">
        <v>1.5261084292750782</v>
      </c>
      <c r="AY37" s="24">
        <v>20436</v>
      </c>
      <c r="AZ37" s="24">
        <v>7045.0773054000019</v>
      </c>
      <c r="BA37" s="26">
        <v>0.34473856456253682</v>
      </c>
      <c r="BB37" s="27">
        <v>0.34473856456253682</v>
      </c>
    </row>
    <row r="38" spans="1:54" x14ac:dyDescent="0.35">
      <c r="A38" s="54" t="s">
        <v>287</v>
      </c>
      <c r="B38" s="16">
        <v>9.6999999999999993</v>
      </c>
      <c r="C38" s="16"/>
      <c r="D38" s="55"/>
      <c r="E38" s="16"/>
      <c r="F38" s="16"/>
      <c r="H38" s="54">
        <v>3.7595000000000001</v>
      </c>
      <c r="K38" s="1" t="s">
        <v>288</v>
      </c>
      <c r="L38" s="1"/>
      <c r="M38" s="56" t="s">
        <v>289</v>
      </c>
      <c r="N38" s="1" t="s">
        <v>8</v>
      </c>
      <c r="O38" t="s">
        <v>71</v>
      </c>
      <c r="P38" t="s">
        <v>51</v>
      </c>
      <c r="Q38" s="18" t="s">
        <v>120</v>
      </c>
      <c r="S38" t="s">
        <v>71</v>
      </c>
      <c r="AP38" s="30" t="s">
        <v>7</v>
      </c>
      <c r="AQ38" s="30" t="s">
        <v>290</v>
      </c>
      <c r="AR38" s="31" t="s">
        <v>291</v>
      </c>
      <c r="AS38" s="31" t="s">
        <v>51</v>
      </c>
      <c r="AT38" s="31" t="s">
        <v>72</v>
      </c>
      <c r="AU38" s="31" t="s">
        <v>292</v>
      </c>
      <c r="AV38" s="32">
        <v>66852.941625000007</v>
      </c>
      <c r="AW38" s="32"/>
      <c r="AX38" s="33"/>
      <c r="AY38" s="31"/>
      <c r="AZ38" s="32">
        <v>66852.941625000007</v>
      </c>
      <c r="BA38" s="39"/>
      <c r="BB38" s="35">
        <v>1</v>
      </c>
    </row>
    <row r="39" spans="1:54" x14ac:dyDescent="0.35">
      <c r="A39" t="s">
        <v>293</v>
      </c>
      <c r="B39" s="16">
        <v>8.24</v>
      </c>
      <c r="C39" s="16"/>
      <c r="D39" s="16">
        <v>5.8275311726499988</v>
      </c>
      <c r="E39" s="16">
        <v>39</v>
      </c>
      <c r="F39" s="16">
        <v>48.75</v>
      </c>
      <c r="K39" s="1" t="s">
        <v>294</v>
      </c>
      <c r="L39" s="1"/>
      <c r="M39" s="56" t="s">
        <v>295</v>
      </c>
      <c r="N39" s="1" t="s">
        <v>8</v>
      </c>
      <c r="O39" t="s">
        <v>71</v>
      </c>
      <c r="P39" t="s">
        <v>51</v>
      </c>
      <c r="Q39" s="18" t="s">
        <v>132</v>
      </c>
      <c r="S39" t="s">
        <v>71</v>
      </c>
      <c r="AP39" s="22" t="s">
        <v>7</v>
      </c>
      <c r="AQ39" s="22" t="s">
        <v>296</v>
      </c>
      <c r="AR39" s="23" t="s">
        <v>65</v>
      </c>
      <c r="AS39" s="23" t="s">
        <v>51</v>
      </c>
      <c r="AT39" s="23" t="s">
        <v>66</v>
      </c>
      <c r="AU39" s="23" t="s">
        <v>109</v>
      </c>
      <c r="AV39" s="24">
        <v>31129.790180761251</v>
      </c>
      <c r="AW39" s="24">
        <v>17163.675374999999</v>
      </c>
      <c r="AX39" s="25">
        <v>1.813701873323927</v>
      </c>
      <c r="AY39" s="24">
        <v>31129.790180761251</v>
      </c>
      <c r="AZ39" s="24">
        <v>13966.114805761252</v>
      </c>
      <c r="BA39" s="26">
        <v>0.44864146930204984</v>
      </c>
      <c r="BB39" s="27">
        <v>0.44864146930204984</v>
      </c>
    </row>
    <row r="40" spans="1:54" x14ac:dyDescent="0.35">
      <c r="A40" t="s">
        <v>297</v>
      </c>
      <c r="B40" s="16"/>
      <c r="C40" s="16">
        <v>14.138868857142857</v>
      </c>
      <c r="D40" s="16"/>
      <c r="E40" s="16"/>
      <c r="F40" s="16"/>
      <c r="K40" s="1" t="s">
        <v>298</v>
      </c>
      <c r="L40" s="1"/>
      <c r="M40" s="17" t="s">
        <v>299</v>
      </c>
      <c r="N40" s="1" t="s">
        <v>8</v>
      </c>
      <c r="O40" t="s">
        <v>71</v>
      </c>
      <c r="P40" t="s">
        <v>51</v>
      </c>
      <c r="Q40" s="18" t="s">
        <v>268</v>
      </c>
      <c r="S40" t="s">
        <v>71</v>
      </c>
      <c r="AP40" s="30" t="s">
        <v>7</v>
      </c>
      <c r="AQ40" s="30" t="s">
        <v>300</v>
      </c>
      <c r="AR40" s="31" t="s">
        <v>89</v>
      </c>
      <c r="AS40" s="31" t="s">
        <v>51</v>
      </c>
      <c r="AT40" s="31" t="s">
        <v>54</v>
      </c>
      <c r="AU40" s="31" t="s">
        <v>90</v>
      </c>
      <c r="AV40" s="32">
        <v>36004.649443696144</v>
      </c>
      <c r="AW40" s="32">
        <v>24501.657599999999</v>
      </c>
      <c r="AX40" s="33">
        <v>1.4694781076238754</v>
      </c>
      <c r="AY40" s="32">
        <v>36004.649443696144</v>
      </c>
      <c r="AZ40" s="32">
        <v>11502.991843696145</v>
      </c>
      <c r="BA40" s="34">
        <v>0.31948628917174865</v>
      </c>
      <c r="BB40" s="35">
        <v>0.31948628917174865</v>
      </c>
    </row>
    <row r="41" spans="1:54" x14ac:dyDescent="0.35">
      <c r="A41" t="s">
        <v>301</v>
      </c>
      <c r="B41" s="16"/>
      <c r="E41" s="16">
        <v>16.377435493495312</v>
      </c>
      <c r="F41" s="16">
        <v>20.471794366869137</v>
      </c>
      <c r="K41" s="1" t="s">
        <v>302</v>
      </c>
      <c r="L41" s="1"/>
      <c r="M41" s="1" t="s">
        <v>303</v>
      </c>
      <c r="N41" s="1" t="s">
        <v>8</v>
      </c>
      <c r="O41" t="s">
        <v>50</v>
      </c>
      <c r="P41" t="s">
        <v>165</v>
      </c>
      <c r="Q41" s="18" t="s">
        <v>52</v>
      </c>
      <c r="S41" t="s">
        <v>71</v>
      </c>
      <c r="AP41" s="57" t="s">
        <v>304</v>
      </c>
      <c r="AQ41" s="57"/>
      <c r="AR41" s="57"/>
      <c r="AS41" s="57"/>
      <c r="AT41" s="57"/>
      <c r="AU41" s="57"/>
      <c r="AV41" s="58">
        <v>941592.14485810336</v>
      </c>
      <c r="AW41" s="58">
        <v>435114.82701438793</v>
      </c>
      <c r="AX41" s="59">
        <v>2.164008409731732</v>
      </c>
      <c r="AY41" s="58">
        <v>941592.14485810336</v>
      </c>
      <c r="AZ41" s="58">
        <v>506477.31784371543</v>
      </c>
      <c r="BA41" s="59">
        <v>0.53789458696051551</v>
      </c>
      <c r="BB41" s="60">
        <v>0.53789458696051551</v>
      </c>
    </row>
    <row r="42" spans="1:54" x14ac:dyDescent="0.35">
      <c r="A42" t="s">
        <v>305</v>
      </c>
      <c r="B42" s="16">
        <v>5</v>
      </c>
      <c r="C42" s="16"/>
      <c r="D42" s="16"/>
      <c r="E42" s="16"/>
      <c r="F42" s="16"/>
      <c r="K42" s="1" t="s">
        <v>306</v>
      </c>
      <c r="L42" s="1"/>
      <c r="M42" s="56" t="s">
        <v>307</v>
      </c>
      <c r="N42" s="1" t="s">
        <v>8</v>
      </c>
      <c r="O42" t="s">
        <v>71</v>
      </c>
      <c r="P42" t="s">
        <v>51</v>
      </c>
      <c r="Q42" s="18" t="s">
        <v>120</v>
      </c>
      <c r="S42" t="s">
        <v>50</v>
      </c>
      <c r="AP42" s="30" t="s">
        <v>308</v>
      </c>
      <c r="AQ42" s="30" t="s">
        <v>309</v>
      </c>
      <c r="AR42" s="31" t="s">
        <v>310</v>
      </c>
      <c r="AS42" s="31" t="s">
        <v>51</v>
      </c>
      <c r="AT42" s="31" t="s">
        <v>54</v>
      </c>
      <c r="AU42" s="31" t="s">
        <v>67</v>
      </c>
      <c r="AV42" s="32">
        <v>57670.791843433755</v>
      </c>
      <c r="AW42" s="32">
        <v>42443.740214721423</v>
      </c>
      <c r="AX42" s="33">
        <v>1.358758477732622</v>
      </c>
      <c r="AY42" s="32">
        <v>57670.791843433755</v>
      </c>
      <c r="AZ42" s="32">
        <v>15227.051628712332</v>
      </c>
      <c r="BA42" s="34">
        <v>0.26403403078028037</v>
      </c>
      <c r="BB42" s="35">
        <v>0.26403403078028037</v>
      </c>
    </row>
    <row r="43" spans="1:54" x14ac:dyDescent="0.35">
      <c r="A43" t="s">
        <v>311</v>
      </c>
      <c r="B43" s="16">
        <v>6</v>
      </c>
      <c r="C43" s="16"/>
      <c r="D43" s="16">
        <v>4.8701921830718753</v>
      </c>
      <c r="E43" s="16"/>
      <c r="F43" s="16"/>
      <c r="K43" s="1" t="s">
        <v>312</v>
      </c>
      <c r="L43" s="1"/>
      <c r="M43" s="17" t="s">
        <v>313</v>
      </c>
      <c r="N43" s="1" t="s">
        <v>13</v>
      </c>
      <c r="O43" t="s">
        <v>50</v>
      </c>
      <c r="P43" t="e">
        <v>#N/A</v>
      </c>
      <c r="Q43" s="18" t="s">
        <v>314</v>
      </c>
      <c r="S43" t="s">
        <v>71</v>
      </c>
      <c r="AP43" s="22" t="s">
        <v>308</v>
      </c>
      <c r="AQ43" s="22" t="s">
        <v>315</v>
      </c>
      <c r="AR43" s="23" t="s">
        <v>310</v>
      </c>
      <c r="AS43" s="23" t="s">
        <v>51</v>
      </c>
      <c r="AT43" s="23" t="s">
        <v>66</v>
      </c>
      <c r="AU43" s="23" t="s">
        <v>90</v>
      </c>
      <c r="AV43" s="24">
        <v>20204.827446466665</v>
      </c>
      <c r="AW43" s="24">
        <v>10693.395299404123</v>
      </c>
      <c r="AX43" s="25">
        <v>1.889467926767147</v>
      </c>
      <c r="AY43" s="24">
        <v>20204.827446466665</v>
      </c>
      <c r="AZ43" s="24">
        <v>9511.4321470625418</v>
      </c>
      <c r="BA43" s="26">
        <v>0.47075047645239165</v>
      </c>
      <c r="BB43" s="27">
        <v>0.47075047645239165</v>
      </c>
    </row>
    <row r="44" spans="1:54" x14ac:dyDescent="0.35">
      <c r="A44" t="s">
        <v>316</v>
      </c>
      <c r="B44" s="16">
        <v>6</v>
      </c>
      <c r="C44" s="16"/>
      <c r="D44" s="16"/>
      <c r="E44" s="16"/>
      <c r="F44" s="16"/>
      <c r="K44" s="1" t="s">
        <v>317</v>
      </c>
      <c r="L44" s="1"/>
      <c r="M44" s="1" t="s">
        <v>318</v>
      </c>
      <c r="N44" s="1" t="s">
        <v>13</v>
      </c>
      <c r="O44" t="s">
        <v>71</v>
      </c>
      <c r="P44" t="s">
        <v>51</v>
      </c>
      <c r="Q44" s="18" t="s">
        <v>314</v>
      </c>
      <c r="S44" t="e">
        <v>#N/A</v>
      </c>
      <c r="AP44" s="30" t="s">
        <v>308</v>
      </c>
      <c r="AQ44" s="30" t="s">
        <v>319</v>
      </c>
      <c r="AR44" s="31" t="s">
        <v>310</v>
      </c>
      <c r="AS44" s="31" t="s">
        <v>51</v>
      </c>
      <c r="AT44" s="31" t="s">
        <v>72</v>
      </c>
      <c r="AU44" s="31" t="s">
        <v>90</v>
      </c>
      <c r="AV44" s="32">
        <v>9430</v>
      </c>
      <c r="AW44" s="61">
        <v>0</v>
      </c>
      <c r="AX44" s="33"/>
      <c r="AY44" s="31"/>
      <c r="AZ44" s="32">
        <v>9430</v>
      </c>
      <c r="BA44" s="39"/>
      <c r="BB44" s="35">
        <v>1</v>
      </c>
    </row>
    <row r="45" spans="1:54" x14ac:dyDescent="0.35">
      <c r="A45" t="s">
        <v>320</v>
      </c>
      <c r="B45" s="16">
        <v>5.15</v>
      </c>
      <c r="C45" s="16"/>
      <c r="D45" s="16">
        <v>4.8701921830718753</v>
      </c>
      <c r="E45" s="16">
        <v>10</v>
      </c>
      <c r="F45" s="16">
        <v>12.5</v>
      </c>
      <c r="K45" s="1" t="s">
        <v>321</v>
      </c>
      <c r="L45" s="1"/>
      <c r="M45" s="17" t="s">
        <v>322</v>
      </c>
      <c r="N45" s="1" t="s">
        <v>13</v>
      </c>
      <c r="O45" t="s">
        <v>71</v>
      </c>
      <c r="P45" t="s">
        <v>51</v>
      </c>
      <c r="Q45" s="18" t="s">
        <v>314</v>
      </c>
      <c r="S45" t="s">
        <v>71</v>
      </c>
      <c r="AP45" s="22" t="s">
        <v>308</v>
      </c>
      <c r="AQ45" s="22" t="s">
        <v>323</v>
      </c>
      <c r="AR45" s="23" t="s">
        <v>310</v>
      </c>
      <c r="AS45" s="23" t="s">
        <v>51</v>
      </c>
      <c r="AT45" s="23" t="s">
        <v>72</v>
      </c>
      <c r="AU45" s="23" t="s">
        <v>90</v>
      </c>
      <c r="AV45" s="24">
        <v>33004.235000000001</v>
      </c>
      <c r="AW45" s="24"/>
      <c r="AX45" s="25"/>
      <c r="AY45" s="23"/>
      <c r="AZ45" s="24">
        <v>33004.235000000001</v>
      </c>
      <c r="BA45" s="41"/>
      <c r="BB45" s="27">
        <v>1</v>
      </c>
    </row>
    <row r="46" spans="1:54" x14ac:dyDescent="0.35">
      <c r="A46" t="s">
        <v>324</v>
      </c>
      <c r="B46" s="16">
        <v>7</v>
      </c>
      <c r="C46" s="16"/>
      <c r="D46" s="16">
        <v>5.8246519576437503</v>
      </c>
      <c r="E46" s="16"/>
      <c r="F46" s="16"/>
      <c r="K46" s="1" t="s">
        <v>325</v>
      </c>
      <c r="L46" s="1"/>
      <c r="M46" s="17" t="s">
        <v>326</v>
      </c>
      <c r="N46" s="1" t="s">
        <v>9</v>
      </c>
      <c r="O46" t="s">
        <v>71</v>
      </c>
      <c r="P46" t="s">
        <v>51</v>
      </c>
      <c r="Q46" s="18" t="s">
        <v>314</v>
      </c>
      <c r="S46" t="s">
        <v>71</v>
      </c>
      <c r="AP46" s="30" t="s">
        <v>308</v>
      </c>
      <c r="AQ46" s="30" t="s">
        <v>327</v>
      </c>
      <c r="AR46" s="31" t="s">
        <v>310</v>
      </c>
      <c r="AS46" s="31" t="s">
        <v>51</v>
      </c>
      <c r="AT46" s="31" t="s">
        <v>54</v>
      </c>
      <c r="AU46" s="31" t="s">
        <v>90</v>
      </c>
      <c r="AV46" s="32">
        <v>40688.300875541776</v>
      </c>
      <c r="AW46" s="32">
        <v>23409.442389394288</v>
      </c>
      <c r="AX46" s="33">
        <v>1.7381149110145282</v>
      </c>
      <c r="AY46" s="32">
        <v>40688.300875541776</v>
      </c>
      <c r="AZ46" s="32">
        <v>17278.858486147488</v>
      </c>
      <c r="BA46" s="34">
        <v>0.42466404628201165</v>
      </c>
      <c r="BB46" s="35">
        <v>0.42466404628201165</v>
      </c>
    </row>
    <row r="47" spans="1:54" x14ac:dyDescent="0.35">
      <c r="A47" s="40" t="s">
        <v>328</v>
      </c>
      <c r="B47" s="16"/>
      <c r="E47" s="16">
        <v>15.69513317625</v>
      </c>
      <c r="F47" s="16">
        <v>19.618916470312499</v>
      </c>
      <c r="K47" s="1" t="s">
        <v>329</v>
      </c>
      <c r="L47" s="1"/>
      <c r="M47" s="17" t="s">
        <v>330</v>
      </c>
      <c r="N47" s="1" t="s">
        <v>9</v>
      </c>
      <c r="O47" t="s">
        <v>71</v>
      </c>
      <c r="P47" t="s">
        <v>51</v>
      </c>
      <c r="Q47" s="18" t="s">
        <v>314</v>
      </c>
      <c r="S47" t="s">
        <v>71</v>
      </c>
      <c r="AP47" s="22" t="s">
        <v>308</v>
      </c>
      <c r="AQ47" s="22" t="s">
        <v>331</v>
      </c>
      <c r="AR47" s="23" t="s">
        <v>310</v>
      </c>
      <c r="AS47" s="23" t="s">
        <v>51</v>
      </c>
      <c r="AT47" s="23" t="s">
        <v>72</v>
      </c>
      <c r="AU47" s="23" t="s">
        <v>90</v>
      </c>
      <c r="AV47" s="24">
        <v>10909.874032444422</v>
      </c>
      <c r="AW47" s="24">
        <v>7790.9022895658618</v>
      </c>
      <c r="AX47" s="25">
        <v>1.400335112282914</v>
      </c>
      <c r="AY47" s="24">
        <v>10909.874032444422</v>
      </c>
      <c r="AZ47" s="24">
        <v>3118.9717428785607</v>
      </c>
      <c r="BA47" s="26">
        <v>0.28588522045288328</v>
      </c>
      <c r="BB47" s="27">
        <v>0.28588522045288328</v>
      </c>
    </row>
    <row r="48" spans="1:54" x14ac:dyDescent="0.35">
      <c r="A48" t="s">
        <v>332</v>
      </c>
      <c r="B48" s="16"/>
      <c r="D48">
        <v>5.19</v>
      </c>
      <c r="E48" s="16"/>
      <c r="F48" s="16"/>
      <c r="K48" s="1" t="s">
        <v>333</v>
      </c>
      <c r="L48" s="1"/>
      <c r="M48" s="56" t="s">
        <v>334</v>
      </c>
      <c r="N48" s="1" t="s">
        <v>9</v>
      </c>
      <c r="O48" t="s">
        <v>71</v>
      </c>
      <c r="P48" t="s">
        <v>51</v>
      </c>
      <c r="Q48" s="18" t="s">
        <v>314</v>
      </c>
      <c r="S48" t="s">
        <v>71</v>
      </c>
      <c r="AP48" s="30" t="s">
        <v>308</v>
      </c>
      <c r="AQ48" s="30" t="s">
        <v>335</v>
      </c>
      <c r="AR48" s="31" t="s">
        <v>310</v>
      </c>
      <c r="AS48" s="31" t="s">
        <v>51</v>
      </c>
      <c r="AT48" s="31" t="s">
        <v>72</v>
      </c>
      <c r="AU48" s="31" t="s">
        <v>67</v>
      </c>
      <c r="AV48" s="32">
        <v>23508.319999999996</v>
      </c>
      <c r="AW48" s="32">
        <v>6529.0397914170026</v>
      </c>
      <c r="AX48" s="33">
        <v>3.6005784542627159</v>
      </c>
      <c r="AY48" s="32">
        <v>23508.319999999996</v>
      </c>
      <c r="AZ48" s="32">
        <v>16979.280208582994</v>
      </c>
      <c r="BA48" s="34">
        <v>0.72226684886810266</v>
      </c>
      <c r="BB48" s="35">
        <v>0.72226684886810266</v>
      </c>
    </row>
    <row r="49" spans="1:54" x14ac:dyDescent="0.35">
      <c r="A49" t="s">
        <v>336</v>
      </c>
      <c r="B49" s="16"/>
      <c r="E49" s="16">
        <v>10.463422117499999</v>
      </c>
      <c r="F49" s="16">
        <v>13.079277646874999</v>
      </c>
      <c r="K49" s="1" t="s">
        <v>337</v>
      </c>
      <c r="L49" s="1"/>
      <c r="M49" s="17" t="s">
        <v>338</v>
      </c>
      <c r="N49" s="1" t="s">
        <v>9</v>
      </c>
      <c r="O49" t="s">
        <v>71</v>
      </c>
      <c r="P49" t="s">
        <v>51</v>
      </c>
      <c r="Q49" s="18" t="s">
        <v>314</v>
      </c>
      <c r="S49" t="s">
        <v>71</v>
      </c>
      <c r="AP49" s="22" t="s">
        <v>308</v>
      </c>
      <c r="AQ49" s="22" t="s">
        <v>339</v>
      </c>
      <c r="AR49" s="23" t="s">
        <v>310</v>
      </c>
      <c r="AS49" s="23" t="s">
        <v>51</v>
      </c>
      <c r="AT49" s="23" t="s">
        <v>54</v>
      </c>
      <c r="AU49" s="23" t="s">
        <v>67</v>
      </c>
      <c r="AV49" s="24">
        <v>31816.472037027866</v>
      </c>
      <c r="AW49" s="24">
        <v>10391.984271339428</v>
      </c>
      <c r="AX49" s="25">
        <v>3.0616358922690154</v>
      </c>
      <c r="AY49" s="24">
        <v>31816.472037027866</v>
      </c>
      <c r="AZ49" s="24">
        <v>21424.487765688438</v>
      </c>
      <c r="BA49" s="26">
        <v>0.67337722864919514</v>
      </c>
      <c r="BB49" s="27">
        <v>0.67337722864919514</v>
      </c>
    </row>
    <row r="50" spans="1:54" x14ac:dyDescent="0.35">
      <c r="A50" s="48" t="s">
        <v>340</v>
      </c>
      <c r="B50" s="16">
        <v>6.3</v>
      </c>
      <c r="C50" s="16"/>
      <c r="D50" s="16">
        <v>5.5064986994531244</v>
      </c>
      <c r="E50" s="16">
        <v>15.69513317625</v>
      </c>
      <c r="F50" s="16">
        <v>19.618916470312499</v>
      </c>
      <c r="K50" s="1" t="s">
        <v>341</v>
      </c>
      <c r="L50" s="1"/>
      <c r="M50" s="17" t="s">
        <v>342</v>
      </c>
      <c r="N50" s="1" t="s">
        <v>9</v>
      </c>
      <c r="O50" t="s">
        <v>71</v>
      </c>
      <c r="P50" t="s">
        <v>51</v>
      </c>
      <c r="Q50" s="18" t="s">
        <v>314</v>
      </c>
      <c r="S50" t="s">
        <v>71</v>
      </c>
      <c r="AP50" s="30" t="s">
        <v>308</v>
      </c>
      <c r="AQ50" s="30" t="s">
        <v>343</v>
      </c>
      <c r="AR50" s="31" t="s">
        <v>310</v>
      </c>
      <c r="AS50" s="31" t="s">
        <v>51</v>
      </c>
      <c r="AT50" s="31" t="s">
        <v>72</v>
      </c>
      <c r="AU50" s="31" t="s">
        <v>344</v>
      </c>
      <c r="AV50" s="32">
        <v>20297.896868228567</v>
      </c>
      <c r="AW50" s="32">
        <v>6299</v>
      </c>
      <c r="AX50" s="33">
        <v>3.222399883827364</v>
      </c>
      <c r="AY50" s="32">
        <v>20297.896868228567</v>
      </c>
      <c r="AZ50" s="32">
        <v>13998.896868228567</v>
      </c>
      <c r="BA50" s="34">
        <v>0.68967228275459624</v>
      </c>
      <c r="BB50" s="35">
        <v>0.68967228275459624</v>
      </c>
    </row>
    <row r="51" spans="1:54" x14ac:dyDescent="0.35">
      <c r="A51" t="s">
        <v>345</v>
      </c>
      <c r="B51" s="16"/>
      <c r="E51" s="16">
        <v>10.463422117499999</v>
      </c>
      <c r="F51" s="16">
        <v>13.079277646874999</v>
      </c>
      <c r="K51" s="1" t="s">
        <v>346</v>
      </c>
      <c r="L51" s="1"/>
      <c r="M51" s="17" t="s">
        <v>278</v>
      </c>
      <c r="N51" s="1" t="s">
        <v>9</v>
      </c>
      <c r="O51" t="s">
        <v>71</v>
      </c>
      <c r="P51" t="s">
        <v>51</v>
      </c>
      <c r="Q51" s="18" t="s">
        <v>314</v>
      </c>
      <c r="S51" t="s">
        <v>71</v>
      </c>
      <c r="AP51" s="22" t="s">
        <v>308</v>
      </c>
      <c r="AQ51" s="22" t="s">
        <v>347</v>
      </c>
      <c r="AR51" s="23" t="s">
        <v>310</v>
      </c>
      <c r="AS51" s="23" t="s">
        <v>51</v>
      </c>
      <c r="AT51" s="23" t="s">
        <v>66</v>
      </c>
      <c r="AU51" s="23" t="s">
        <v>344</v>
      </c>
      <c r="AV51" s="24">
        <v>15223.422651171424</v>
      </c>
      <c r="AW51" s="24">
        <v>7804.78</v>
      </c>
      <c r="AX51" s="25">
        <v>1.9505255306583176</v>
      </c>
      <c r="AY51" s="24">
        <v>15223.422651171424</v>
      </c>
      <c r="AZ51" s="24">
        <v>7418.6426511714244</v>
      </c>
      <c r="BA51" s="26">
        <v>0.48731765655869569</v>
      </c>
      <c r="BB51" s="27">
        <v>0.48731765655869569</v>
      </c>
    </row>
    <row r="52" spans="1:54" x14ac:dyDescent="0.35">
      <c r="A52" t="s">
        <v>348</v>
      </c>
      <c r="B52" s="16">
        <v>5.15</v>
      </c>
      <c r="C52" s="16"/>
      <c r="D52" s="16"/>
      <c r="E52" s="16"/>
      <c r="F52" s="16"/>
      <c r="K52" s="1" t="s">
        <v>349</v>
      </c>
      <c r="L52" s="1"/>
      <c r="M52" s="17" t="s">
        <v>208</v>
      </c>
      <c r="N52" s="1" t="s">
        <v>9</v>
      </c>
      <c r="O52" t="s">
        <v>71</v>
      </c>
      <c r="P52" t="s">
        <v>51</v>
      </c>
      <c r="Q52" s="18" t="s">
        <v>314</v>
      </c>
      <c r="S52" t="s">
        <v>71</v>
      </c>
      <c r="AP52" s="30" t="s">
        <v>308</v>
      </c>
      <c r="AQ52" s="30" t="s">
        <v>350</v>
      </c>
      <c r="AR52" s="31" t="s">
        <v>310</v>
      </c>
      <c r="AS52" s="31" t="s">
        <v>51</v>
      </c>
      <c r="AT52" s="31" t="s">
        <v>54</v>
      </c>
      <c r="AU52" s="31" t="s">
        <v>90</v>
      </c>
      <c r="AV52" s="32">
        <v>57650.788998025695</v>
      </c>
      <c r="AW52" s="32">
        <v>12836.505834256501</v>
      </c>
      <c r="AX52" s="33">
        <v>4.4911590227438918</v>
      </c>
      <c r="AY52" s="32">
        <v>57650.788998025695</v>
      </c>
      <c r="AZ52" s="32">
        <v>44814.283163769192</v>
      </c>
      <c r="BA52" s="34">
        <v>0.77734032686532528</v>
      </c>
      <c r="BB52" s="35">
        <v>0.77734032686532528</v>
      </c>
    </row>
    <row r="53" spans="1:54" x14ac:dyDescent="0.35">
      <c r="A53" t="s">
        <v>351</v>
      </c>
      <c r="B53" s="16"/>
      <c r="E53" s="16">
        <v>15.69513317625</v>
      </c>
      <c r="F53" s="16">
        <v>19.618916470312499</v>
      </c>
      <c r="K53" s="1" t="s">
        <v>352</v>
      </c>
      <c r="L53" s="1"/>
      <c r="M53" s="17" t="s">
        <v>353</v>
      </c>
      <c r="N53" s="1" t="s">
        <v>9</v>
      </c>
      <c r="O53" t="s">
        <v>71</v>
      </c>
      <c r="P53" t="s">
        <v>51</v>
      </c>
      <c r="Q53" s="18" t="s">
        <v>314</v>
      </c>
      <c r="S53" t="s">
        <v>71</v>
      </c>
      <c r="AP53" s="57" t="s">
        <v>354</v>
      </c>
      <c r="AQ53" s="57"/>
      <c r="AR53" s="57"/>
      <c r="AS53" s="57"/>
      <c r="AT53" s="57"/>
      <c r="AU53" s="57"/>
      <c r="AV53" s="58">
        <v>320404.92975234025</v>
      </c>
      <c r="AW53" s="58">
        <v>128198.79009009863</v>
      </c>
      <c r="AX53" s="25">
        <v>2.4992820098158366</v>
      </c>
      <c r="AY53" s="58">
        <v>320404.92975234025</v>
      </c>
      <c r="AZ53" s="58">
        <v>192206.13966224162</v>
      </c>
      <c r="BA53" s="59">
        <v>0.59988508856842193</v>
      </c>
      <c r="BB53" s="60">
        <v>0.59988508856842193</v>
      </c>
    </row>
    <row r="54" spans="1:54" x14ac:dyDescent="0.35">
      <c r="A54" t="s">
        <v>355</v>
      </c>
      <c r="B54" s="16">
        <v>7.21</v>
      </c>
      <c r="C54" s="16"/>
      <c r="D54" s="16">
        <v>4.8701921830718753</v>
      </c>
      <c r="E54" s="16"/>
      <c r="F54" s="16"/>
      <c r="K54" s="1" t="s">
        <v>356</v>
      </c>
      <c r="L54" s="1"/>
      <c r="M54" s="17" t="s">
        <v>259</v>
      </c>
      <c r="N54" s="1" t="s">
        <v>12</v>
      </c>
      <c r="O54" t="s">
        <v>71</v>
      </c>
      <c r="P54" t="s">
        <v>51</v>
      </c>
      <c r="Q54" s="18" t="s">
        <v>314</v>
      </c>
      <c r="S54" t="s">
        <v>71</v>
      </c>
      <c r="AP54" s="30" t="s">
        <v>357</v>
      </c>
      <c r="AQ54" s="30" t="s">
        <v>358</v>
      </c>
      <c r="AR54" s="31" t="s">
        <v>310</v>
      </c>
      <c r="AS54" s="31" t="s">
        <v>51</v>
      </c>
      <c r="AT54" s="31" t="s">
        <v>72</v>
      </c>
      <c r="AU54" s="31" t="s">
        <v>67</v>
      </c>
      <c r="AV54" s="32">
        <v>11455.289999999999</v>
      </c>
      <c r="AW54" s="32">
        <v>6453.2</v>
      </c>
      <c r="AX54" s="33">
        <v>1.7751332672162647</v>
      </c>
      <c r="AY54" s="32">
        <v>11455.289999999999</v>
      </c>
      <c r="AZ54" s="32">
        <v>5002.0899999999992</v>
      </c>
      <c r="BA54" s="34">
        <v>0.43666201379450015</v>
      </c>
      <c r="BB54" s="35">
        <v>0.43666201379450015</v>
      </c>
    </row>
    <row r="55" spans="1:54" x14ac:dyDescent="0.35">
      <c r="A55" t="s">
        <v>359</v>
      </c>
      <c r="B55" s="16">
        <v>7</v>
      </c>
      <c r="C55" s="16">
        <v>4.9486040999999998</v>
      </c>
      <c r="D55" s="16">
        <v>4.8701921830718753</v>
      </c>
      <c r="E55" s="16"/>
      <c r="F55" s="16"/>
      <c r="K55" s="1" t="s">
        <v>360</v>
      </c>
      <c r="L55" s="1"/>
      <c r="M55" s="17" t="s">
        <v>361</v>
      </c>
      <c r="N55" s="1" t="s">
        <v>362</v>
      </c>
      <c r="O55" t="s">
        <v>71</v>
      </c>
      <c r="P55" t="s">
        <v>51</v>
      </c>
      <c r="Q55" s="18" t="s">
        <v>268</v>
      </c>
      <c r="S55" t="s">
        <v>71</v>
      </c>
      <c r="AP55" s="22" t="s">
        <v>12</v>
      </c>
      <c r="AQ55" s="22" t="s">
        <v>363</v>
      </c>
      <c r="AR55" s="23" t="s">
        <v>137</v>
      </c>
      <c r="AS55" s="23" t="s">
        <v>51</v>
      </c>
      <c r="AT55" s="23" t="s">
        <v>54</v>
      </c>
      <c r="AU55" s="23" t="s">
        <v>152</v>
      </c>
      <c r="AV55" s="24">
        <v>8354.6666666666661</v>
      </c>
      <c r="AW55" s="24">
        <v>3511.3</v>
      </c>
      <c r="AX55" s="25">
        <v>2.3793656670368994</v>
      </c>
      <c r="AY55" s="24">
        <v>8354.6666666666661</v>
      </c>
      <c r="AZ55" s="24">
        <v>4843.3666666666659</v>
      </c>
      <c r="BA55" s="26">
        <v>0.57971991701244807</v>
      </c>
      <c r="BB55" s="27">
        <v>0.57971991701244807</v>
      </c>
    </row>
    <row r="56" spans="1:54" x14ac:dyDescent="0.35">
      <c r="A56" t="s">
        <v>364</v>
      </c>
      <c r="B56" s="16"/>
      <c r="C56" s="16">
        <v>4.9486040999999998</v>
      </c>
      <c r="D56" s="16"/>
      <c r="E56" s="16">
        <v>10.463422117499999</v>
      </c>
      <c r="F56" s="16">
        <v>13.079277646874999</v>
      </c>
      <c r="K56" s="17" t="s">
        <v>365</v>
      </c>
      <c r="L56" s="17"/>
      <c r="M56" s="56" t="s">
        <v>366</v>
      </c>
      <c r="N56" s="18" t="s">
        <v>7</v>
      </c>
      <c r="O56" s="18" t="s">
        <v>71</v>
      </c>
      <c r="P56" s="18" t="s">
        <v>51</v>
      </c>
      <c r="Q56" s="18"/>
      <c r="S56" t="s">
        <v>71</v>
      </c>
      <c r="AP56" s="30" t="s">
        <v>357</v>
      </c>
      <c r="AQ56" s="30" t="s">
        <v>367</v>
      </c>
      <c r="AR56" s="31" t="s">
        <v>310</v>
      </c>
      <c r="AS56" s="31" t="s">
        <v>51</v>
      </c>
      <c r="AT56" s="31" t="s">
        <v>72</v>
      </c>
      <c r="AU56" s="31" t="s">
        <v>67</v>
      </c>
      <c r="AV56" s="32"/>
      <c r="AW56" s="32"/>
      <c r="AX56" s="33"/>
      <c r="AY56" s="31"/>
      <c r="AZ56" s="32">
        <v>0</v>
      </c>
      <c r="BA56" s="34"/>
      <c r="BB56" s="35"/>
    </row>
    <row r="57" spans="1:54" x14ac:dyDescent="0.35">
      <c r="A57" t="s">
        <v>368</v>
      </c>
      <c r="B57" s="16"/>
      <c r="C57" s="16">
        <v>4.95</v>
      </c>
      <c r="D57" s="16"/>
      <c r="E57" s="16"/>
      <c r="F57" s="16"/>
      <c r="K57" s="17" t="s">
        <v>369</v>
      </c>
      <c r="L57" s="17"/>
      <c r="M57" s="56" t="s">
        <v>370</v>
      </c>
      <c r="N57" s="18" t="s">
        <v>7</v>
      </c>
      <c r="O57" s="18" t="s">
        <v>71</v>
      </c>
      <c r="P57" s="18" t="s">
        <v>51</v>
      </c>
      <c r="Q57" s="18"/>
      <c r="S57" t="s">
        <v>71</v>
      </c>
      <c r="AP57" s="22" t="s">
        <v>357</v>
      </c>
      <c r="AQ57" s="22" t="s">
        <v>371</v>
      </c>
      <c r="AR57" s="23" t="s">
        <v>372</v>
      </c>
      <c r="AS57" s="23" t="s">
        <v>51</v>
      </c>
      <c r="AT57" s="23" t="s">
        <v>72</v>
      </c>
      <c r="AU57" s="23" t="s">
        <v>152</v>
      </c>
      <c r="AV57" s="24">
        <v>2356</v>
      </c>
      <c r="AW57" s="24">
        <v>1508.1</v>
      </c>
      <c r="AX57" s="25">
        <v>1.5622306213115842</v>
      </c>
      <c r="AY57" s="24">
        <v>2356</v>
      </c>
      <c r="AZ57" s="24">
        <v>847.90000000000009</v>
      </c>
      <c r="BA57" s="26">
        <v>0.3598896434634975</v>
      </c>
      <c r="BB57" s="27">
        <v>0.3598896434634975</v>
      </c>
    </row>
    <row r="58" spans="1:54" x14ac:dyDescent="0.35">
      <c r="A58" t="s">
        <v>373</v>
      </c>
      <c r="B58" s="16">
        <v>9.27</v>
      </c>
      <c r="C58" s="16"/>
      <c r="D58" s="16"/>
      <c r="E58" s="16"/>
      <c r="F58" s="16"/>
      <c r="K58" s="17" t="s">
        <v>374</v>
      </c>
      <c r="L58" s="17"/>
      <c r="M58" s="56" t="s">
        <v>375</v>
      </c>
      <c r="N58" s="18" t="s">
        <v>7</v>
      </c>
      <c r="O58" s="18" t="s">
        <v>71</v>
      </c>
      <c r="P58" s="18" t="s">
        <v>51</v>
      </c>
      <c r="Q58" s="18"/>
      <c r="S58" t="s">
        <v>71</v>
      </c>
      <c r="AP58" s="30" t="s">
        <v>357</v>
      </c>
      <c r="AQ58" s="30" t="s">
        <v>376</v>
      </c>
      <c r="AR58" s="31" t="s">
        <v>65</v>
      </c>
      <c r="AS58" s="31" t="s">
        <v>51</v>
      </c>
      <c r="AT58" s="31" t="s">
        <v>54</v>
      </c>
      <c r="AU58" s="31" t="s">
        <v>79</v>
      </c>
      <c r="AV58" s="32">
        <v>8507.1124839991371</v>
      </c>
      <c r="AW58" s="32">
        <v>8005.7350486471814</v>
      </c>
      <c r="AX58" s="33">
        <v>1.0626272831045886</v>
      </c>
      <c r="AY58" s="32">
        <v>8507.1124839991371</v>
      </c>
      <c r="AZ58" s="32">
        <v>501.37743535195568</v>
      </c>
      <c r="BA58" s="34">
        <v>5.8936264954176497E-2</v>
      </c>
      <c r="BB58" s="35">
        <v>5.8936264954176497E-2</v>
      </c>
    </row>
    <row r="59" spans="1:54" x14ac:dyDescent="0.35">
      <c r="A59" t="s">
        <v>377</v>
      </c>
      <c r="B59" s="16"/>
      <c r="C59" s="16">
        <v>4.9486040999999998</v>
      </c>
      <c r="D59" s="16"/>
      <c r="E59" s="16"/>
      <c r="F59" s="16"/>
      <c r="K59" s="17" t="s">
        <v>378</v>
      </c>
      <c r="L59" s="17"/>
      <c r="M59" s="56" t="s">
        <v>93</v>
      </c>
      <c r="N59" s="18" t="s">
        <v>379</v>
      </c>
      <c r="O59" s="18" t="s">
        <v>71</v>
      </c>
      <c r="P59" s="18" t="s">
        <v>51</v>
      </c>
      <c r="Q59" s="18"/>
      <c r="S59" t="s">
        <v>71</v>
      </c>
      <c r="AP59" s="22" t="s">
        <v>357</v>
      </c>
      <c r="AQ59" s="22" t="s">
        <v>380</v>
      </c>
      <c r="AR59" s="23" t="s">
        <v>65</v>
      </c>
      <c r="AS59" s="23" t="s">
        <v>51</v>
      </c>
      <c r="AT59" s="23" t="s">
        <v>54</v>
      </c>
      <c r="AU59" s="23" t="s">
        <v>129</v>
      </c>
      <c r="AV59" s="24">
        <v>13348</v>
      </c>
      <c r="AW59" s="24">
        <v>12135.302666179523</v>
      </c>
      <c r="AX59" s="25">
        <v>1.0999313628328533</v>
      </c>
      <c r="AY59" s="24">
        <v>13348</v>
      </c>
      <c r="AZ59" s="24">
        <v>1212.6973338204771</v>
      </c>
      <c r="BA59" s="26">
        <v>9.0852362437854134E-2</v>
      </c>
      <c r="BB59" s="27">
        <v>9.0852362437854134E-2</v>
      </c>
    </row>
    <row r="60" spans="1:54" x14ac:dyDescent="0.35">
      <c r="A60" s="48" t="s">
        <v>381</v>
      </c>
      <c r="B60" s="16">
        <v>6.3</v>
      </c>
      <c r="C60" s="16"/>
      <c r="D60" s="16">
        <v>5.19</v>
      </c>
      <c r="E60" s="16">
        <v>14.532530718749999</v>
      </c>
      <c r="F60" s="16">
        <v>18.165663398437498</v>
      </c>
      <c r="K60" s="1" t="s">
        <v>382</v>
      </c>
      <c r="L60" s="1"/>
      <c r="M60" s="56" t="s">
        <v>103</v>
      </c>
      <c r="N60" s="18" t="s">
        <v>379</v>
      </c>
      <c r="O60" s="18" t="s">
        <v>71</v>
      </c>
      <c r="P60" s="18" t="s">
        <v>51</v>
      </c>
      <c r="Q60" s="18"/>
      <c r="S60" t="s">
        <v>71</v>
      </c>
      <c r="AP60" s="30" t="s">
        <v>357</v>
      </c>
      <c r="AQ60" s="30" t="s">
        <v>383</v>
      </c>
      <c r="AR60" s="31" t="s">
        <v>65</v>
      </c>
      <c r="AS60" s="31" t="s">
        <v>51</v>
      </c>
      <c r="AT60" s="31" t="s">
        <v>54</v>
      </c>
      <c r="AU60" s="31" t="s">
        <v>109</v>
      </c>
      <c r="AV60" s="62">
        <v>18540.416666666664</v>
      </c>
      <c r="AW60" s="62">
        <v>32272.980000000003</v>
      </c>
      <c r="AX60" s="33"/>
      <c r="AY60" s="31"/>
      <c r="AZ60" s="32">
        <v>18540.416666666664</v>
      </c>
      <c r="BA60" s="34"/>
      <c r="BB60" s="35"/>
    </row>
    <row r="61" spans="1:54" x14ac:dyDescent="0.35">
      <c r="A61" t="s">
        <v>384</v>
      </c>
      <c r="B61" s="16"/>
      <c r="E61" s="16">
        <v>12</v>
      </c>
      <c r="F61" s="16">
        <v>15</v>
      </c>
      <c r="K61" s="1" t="s">
        <v>385</v>
      </c>
      <c r="L61" s="1"/>
      <c r="M61" s="56" t="s">
        <v>112</v>
      </c>
      <c r="N61" s="18" t="s">
        <v>379</v>
      </c>
      <c r="O61" s="18" t="s">
        <v>71</v>
      </c>
      <c r="P61" s="18" t="s">
        <v>51</v>
      </c>
      <c r="Q61" s="18"/>
      <c r="S61" t="s">
        <v>71</v>
      </c>
      <c r="AP61" s="22" t="s">
        <v>357</v>
      </c>
      <c r="AQ61" s="22" t="s">
        <v>386</v>
      </c>
      <c r="AR61" s="23" t="s">
        <v>310</v>
      </c>
      <c r="AS61" s="23" t="s">
        <v>51</v>
      </c>
      <c r="AT61" s="23" t="s">
        <v>72</v>
      </c>
      <c r="AU61" s="23" t="s">
        <v>67</v>
      </c>
      <c r="AV61" s="24"/>
      <c r="AW61" s="24"/>
      <c r="AX61" s="25"/>
      <c r="AY61" s="23"/>
      <c r="AZ61" s="24">
        <v>0</v>
      </c>
      <c r="BA61" s="26"/>
      <c r="BB61" s="27"/>
    </row>
    <row r="62" spans="1:54" x14ac:dyDescent="0.35">
      <c r="A62" t="s">
        <v>387</v>
      </c>
      <c r="B62" s="16"/>
      <c r="E62" s="16">
        <v>15.69513317625</v>
      </c>
      <c r="F62" s="16">
        <v>19.618916470312499</v>
      </c>
      <c r="K62" s="1" t="s">
        <v>388</v>
      </c>
      <c r="L62" s="1"/>
      <c r="M62" s="56" t="s">
        <v>389</v>
      </c>
      <c r="N62" s="18" t="s">
        <v>379</v>
      </c>
      <c r="O62" s="18" t="s">
        <v>71</v>
      </c>
      <c r="P62" s="18" t="s">
        <v>51</v>
      </c>
      <c r="Q62" s="18"/>
      <c r="S62" t="s">
        <v>71</v>
      </c>
      <c r="AP62" s="30" t="s">
        <v>357</v>
      </c>
      <c r="AQ62" s="30" t="s">
        <v>390</v>
      </c>
      <c r="AR62" s="31" t="s">
        <v>241</v>
      </c>
      <c r="AS62" s="44" t="s">
        <v>165</v>
      </c>
      <c r="AT62" s="44" t="s">
        <v>82</v>
      </c>
      <c r="AU62" s="31" t="s">
        <v>180</v>
      </c>
      <c r="AV62" s="62">
        <v>1679.6</v>
      </c>
      <c r="AW62" s="62">
        <v>2662</v>
      </c>
      <c r="AX62" s="33"/>
      <c r="AY62" s="31"/>
      <c r="AZ62" s="32">
        <v>1679.6</v>
      </c>
      <c r="BA62" s="34"/>
      <c r="BB62" s="35"/>
    </row>
    <row r="63" spans="1:54" x14ac:dyDescent="0.35">
      <c r="A63" t="s">
        <v>391</v>
      </c>
      <c r="B63" s="16">
        <v>4.5</v>
      </c>
      <c r="C63" s="16"/>
      <c r="D63" s="16"/>
      <c r="E63" s="16"/>
      <c r="F63" s="16"/>
      <c r="K63" s="1" t="s">
        <v>392</v>
      </c>
      <c r="L63" s="1"/>
      <c r="M63" s="56" t="s">
        <v>202</v>
      </c>
      <c r="N63" s="18" t="s">
        <v>379</v>
      </c>
      <c r="O63" s="18" t="s">
        <v>71</v>
      </c>
      <c r="P63" s="18" t="s">
        <v>51</v>
      </c>
      <c r="Q63" s="18"/>
      <c r="S63" t="s">
        <v>71</v>
      </c>
      <c r="AP63" s="22" t="s">
        <v>357</v>
      </c>
      <c r="AQ63" s="22" t="s">
        <v>393</v>
      </c>
      <c r="AR63" s="23" t="s">
        <v>310</v>
      </c>
      <c r="AS63" s="23" t="s">
        <v>51</v>
      </c>
      <c r="AT63" s="23" t="s">
        <v>72</v>
      </c>
      <c r="AU63" s="23" t="s">
        <v>79</v>
      </c>
      <c r="AV63" s="24"/>
      <c r="AW63" s="24"/>
      <c r="AX63" s="25"/>
      <c r="AY63" s="23"/>
      <c r="AZ63" s="24">
        <v>0</v>
      </c>
      <c r="BA63" s="26"/>
      <c r="BB63" s="27"/>
    </row>
    <row r="64" spans="1:54" x14ac:dyDescent="0.35">
      <c r="A64" t="s">
        <v>394</v>
      </c>
      <c r="B64" s="16">
        <v>6</v>
      </c>
      <c r="C64" s="16"/>
      <c r="D64" s="16"/>
      <c r="E64" s="16"/>
      <c r="F64" s="16"/>
      <c r="K64" s="1" t="s">
        <v>395</v>
      </c>
      <c r="L64" s="1"/>
      <c r="M64" s="56" t="s">
        <v>396</v>
      </c>
      <c r="N64" s="18" t="s">
        <v>379</v>
      </c>
      <c r="O64" s="18" t="s">
        <v>71</v>
      </c>
      <c r="P64" s="18" t="s">
        <v>51</v>
      </c>
      <c r="Q64" s="18"/>
      <c r="S64" t="s">
        <v>71</v>
      </c>
      <c r="AP64" s="30" t="s">
        <v>357</v>
      </c>
      <c r="AQ64" s="30" t="s">
        <v>397</v>
      </c>
      <c r="AR64" s="31" t="s">
        <v>65</v>
      </c>
      <c r="AS64" s="31" t="s">
        <v>51</v>
      </c>
      <c r="AT64" s="31" t="s">
        <v>54</v>
      </c>
      <c r="AU64" s="31" t="s">
        <v>129</v>
      </c>
      <c r="AV64" s="32">
        <v>24172.67</v>
      </c>
      <c r="AW64" s="32">
        <v>13615.215197498925</v>
      </c>
      <c r="AX64" s="33">
        <v>1.7754159335241684</v>
      </c>
      <c r="AY64" s="32">
        <v>24172.67</v>
      </c>
      <c r="AZ64" s="32">
        <v>10557.454802501074</v>
      </c>
      <c r="BA64" s="34">
        <v>0.43675170357685245</v>
      </c>
      <c r="BB64" s="35">
        <v>0.43675170357685245</v>
      </c>
    </row>
    <row r="65" spans="1:54" x14ac:dyDescent="0.35">
      <c r="A65" t="s">
        <v>398</v>
      </c>
      <c r="B65" s="16">
        <v>6</v>
      </c>
      <c r="E65" s="16">
        <v>9.9402510116249996</v>
      </c>
      <c r="F65" s="16">
        <v>12.42531376453125</v>
      </c>
      <c r="K65" s="1" t="s">
        <v>378</v>
      </c>
      <c r="L65" s="1"/>
      <c r="M65" s="56" t="s">
        <v>93</v>
      </c>
      <c r="N65" s="18" t="s">
        <v>379</v>
      </c>
      <c r="O65" s="18" t="s">
        <v>71</v>
      </c>
      <c r="P65" s="18" t="s">
        <v>51</v>
      </c>
      <c r="Q65" s="18"/>
      <c r="S65" t="s">
        <v>71</v>
      </c>
      <c r="AP65" s="22" t="s">
        <v>357</v>
      </c>
      <c r="AQ65" s="22" t="s">
        <v>399</v>
      </c>
      <c r="AR65" s="23" t="s">
        <v>65</v>
      </c>
      <c r="AS65" s="23" t="s">
        <v>51</v>
      </c>
      <c r="AT65" s="23" t="s">
        <v>54</v>
      </c>
      <c r="AU65" s="23" t="s">
        <v>129</v>
      </c>
      <c r="AV65" s="24">
        <v>20535.169999999998</v>
      </c>
      <c r="AW65" s="24">
        <v>14265.897757031247</v>
      </c>
      <c r="AX65" s="25">
        <v>1.4394586551609629</v>
      </c>
      <c r="AY65" s="24">
        <v>20535.169999999998</v>
      </c>
      <c r="AZ65" s="24">
        <v>6269.272242968751</v>
      </c>
      <c r="BA65" s="26">
        <v>0.30529439215593307</v>
      </c>
      <c r="BB65" s="27">
        <v>0.30529439215593307</v>
      </c>
    </row>
    <row r="66" spans="1:54" x14ac:dyDescent="0.35">
      <c r="A66" t="s">
        <v>400</v>
      </c>
      <c r="B66" s="16">
        <v>6.18</v>
      </c>
      <c r="C66" s="16"/>
      <c r="D66" s="16"/>
      <c r="E66" s="16"/>
      <c r="F66" s="16"/>
      <c r="K66" s="1" t="s">
        <v>382</v>
      </c>
      <c r="L66" s="1"/>
      <c r="M66" s="56" t="s">
        <v>103</v>
      </c>
      <c r="N66" s="18" t="s">
        <v>379</v>
      </c>
      <c r="O66" s="18" t="s">
        <v>71</v>
      </c>
      <c r="P66" s="18" t="s">
        <v>51</v>
      </c>
      <c r="Q66" s="18"/>
      <c r="S66" t="s">
        <v>71</v>
      </c>
      <c r="AP66" s="30" t="s">
        <v>357</v>
      </c>
      <c r="AQ66" s="30" t="s">
        <v>401</v>
      </c>
      <c r="AR66" s="31" t="s">
        <v>65</v>
      </c>
      <c r="AS66" s="31" t="s">
        <v>51</v>
      </c>
      <c r="AT66" s="31" t="s">
        <v>54</v>
      </c>
      <c r="AU66" s="31" t="s">
        <v>129</v>
      </c>
      <c r="AV66" s="32">
        <v>19068.830000000002</v>
      </c>
      <c r="AW66" s="32">
        <v>13390.922694599998</v>
      </c>
      <c r="AX66" s="33">
        <v>1.4240116558726508</v>
      </c>
      <c r="AY66" s="32">
        <v>19068.830000000002</v>
      </c>
      <c r="AZ66" s="32">
        <v>5677.9073054000037</v>
      </c>
      <c r="BA66" s="34">
        <v>0.29775855704833509</v>
      </c>
      <c r="BB66" s="35">
        <v>0.29775855704833509</v>
      </c>
    </row>
    <row r="67" spans="1:54" x14ac:dyDescent="0.35">
      <c r="A67" t="s">
        <v>402</v>
      </c>
      <c r="B67" s="16">
        <v>7</v>
      </c>
      <c r="C67" s="16"/>
      <c r="D67" s="16">
        <v>4.8701921830718753</v>
      </c>
      <c r="E67" s="16">
        <v>11.509764329249998</v>
      </c>
      <c r="F67" s="16">
        <v>14.387205411562499</v>
      </c>
      <c r="K67" s="1" t="s">
        <v>385</v>
      </c>
      <c r="L67" s="1"/>
      <c r="M67" s="56" t="s">
        <v>112</v>
      </c>
      <c r="N67" s="18" t="s">
        <v>379</v>
      </c>
      <c r="O67" s="18" t="s">
        <v>71</v>
      </c>
      <c r="P67" s="18" t="s">
        <v>51</v>
      </c>
      <c r="Q67" s="18"/>
      <c r="S67" t="s">
        <v>71</v>
      </c>
      <c r="AP67" s="22" t="s">
        <v>357</v>
      </c>
      <c r="AQ67" s="22" t="s">
        <v>403</v>
      </c>
      <c r="AR67" s="23" t="s">
        <v>65</v>
      </c>
      <c r="AS67" s="23" t="s">
        <v>51</v>
      </c>
      <c r="AT67" s="23" t="s">
        <v>54</v>
      </c>
      <c r="AU67" s="23" t="s">
        <v>129</v>
      </c>
      <c r="AV67" s="24">
        <v>19068.830000000002</v>
      </c>
      <c r="AW67" s="24">
        <v>13390.922694599998</v>
      </c>
      <c r="AX67" s="25">
        <v>1.4240116558726508</v>
      </c>
      <c r="AY67" s="24">
        <v>19068.830000000002</v>
      </c>
      <c r="AZ67" s="24">
        <v>5677.9073054000037</v>
      </c>
      <c r="BA67" s="26">
        <v>0.29775855704833509</v>
      </c>
      <c r="BB67" s="27">
        <v>0.29775855704833509</v>
      </c>
    </row>
    <row r="68" spans="1:54" x14ac:dyDescent="0.35">
      <c r="A68" s="46" t="s">
        <v>299</v>
      </c>
      <c r="B68" s="47"/>
      <c r="C68" s="46">
        <v>0</v>
      </c>
      <c r="D68" s="46"/>
      <c r="E68" s="47"/>
      <c r="F68" s="47"/>
      <c r="G68" s="46"/>
      <c r="H68" s="46"/>
      <c r="K68" s="1" t="s">
        <v>388</v>
      </c>
      <c r="L68" s="1"/>
      <c r="M68" s="56" t="s">
        <v>389</v>
      </c>
      <c r="N68" s="18" t="s">
        <v>379</v>
      </c>
      <c r="O68" s="18" t="s">
        <v>71</v>
      </c>
      <c r="P68" s="18" t="s">
        <v>51</v>
      </c>
      <c r="Q68" s="18"/>
      <c r="S68" t="s">
        <v>71</v>
      </c>
      <c r="AP68" s="30" t="s">
        <v>357</v>
      </c>
      <c r="AQ68" s="30" t="s">
        <v>404</v>
      </c>
      <c r="AR68" s="31" t="s">
        <v>310</v>
      </c>
      <c r="AS68" s="31" t="s">
        <v>51</v>
      </c>
      <c r="AT68" s="31" t="s">
        <v>72</v>
      </c>
      <c r="AU68" s="31" t="s">
        <v>79</v>
      </c>
      <c r="AV68" s="32"/>
      <c r="AW68" s="32"/>
      <c r="AX68" s="33"/>
      <c r="AY68" s="32"/>
      <c r="AZ68" s="32">
        <v>0</v>
      </c>
      <c r="BA68" s="34"/>
      <c r="BB68" s="35"/>
    </row>
    <row r="69" spans="1:54" x14ac:dyDescent="0.35">
      <c r="A69" t="s">
        <v>405</v>
      </c>
      <c r="B69" s="16">
        <v>5.5</v>
      </c>
      <c r="C69" s="16"/>
      <c r="D69" s="16"/>
      <c r="E69" s="16"/>
      <c r="F69" s="16"/>
      <c r="K69" s="1" t="s">
        <v>392</v>
      </c>
      <c r="L69" s="1"/>
      <c r="M69" s="56" t="s">
        <v>202</v>
      </c>
      <c r="N69" s="18" t="s">
        <v>379</v>
      </c>
      <c r="O69" s="18" t="s">
        <v>71</v>
      </c>
      <c r="P69" s="18" t="s">
        <v>51</v>
      </c>
      <c r="Q69" s="18"/>
      <c r="S69" t="s">
        <v>71</v>
      </c>
      <c r="AP69" s="22" t="s">
        <v>357</v>
      </c>
      <c r="AQ69" s="22" t="s">
        <v>406</v>
      </c>
      <c r="AR69" s="23" t="s">
        <v>65</v>
      </c>
      <c r="AS69" s="23" t="s">
        <v>51</v>
      </c>
      <c r="AT69" s="23" t="s">
        <v>54</v>
      </c>
      <c r="AU69" s="23" t="s">
        <v>79</v>
      </c>
      <c r="AV69" s="24">
        <v>13199.63784749741</v>
      </c>
      <c r="AW69" s="24">
        <v>8327.3807610217154</v>
      </c>
      <c r="AX69" s="25">
        <v>1.5850887843728068</v>
      </c>
      <c r="AY69" s="24">
        <v>13199.63784749741</v>
      </c>
      <c r="AZ69" s="24">
        <v>4872.2570864756945</v>
      </c>
      <c r="BA69" s="26">
        <v>0.36912051245401795</v>
      </c>
      <c r="BB69" s="27">
        <v>0.36912051245401795</v>
      </c>
    </row>
    <row r="70" spans="1:54" x14ac:dyDescent="0.35">
      <c r="A70" t="s">
        <v>407</v>
      </c>
      <c r="B70" s="16">
        <v>5.5</v>
      </c>
      <c r="C70" s="16"/>
      <c r="D70" s="16">
        <v>5.1883454412624994</v>
      </c>
      <c r="E70" s="16">
        <v>15.69513317625</v>
      </c>
      <c r="F70" s="16">
        <v>19.618916470312499</v>
      </c>
      <c r="K70" s="17" t="s">
        <v>395</v>
      </c>
      <c r="L70" s="17"/>
      <c r="M70" s="56" t="s">
        <v>396</v>
      </c>
      <c r="N70" s="18" t="s">
        <v>379</v>
      </c>
      <c r="O70" s="18" t="s">
        <v>71</v>
      </c>
      <c r="P70" s="18" t="s">
        <v>51</v>
      </c>
      <c r="Q70" s="18"/>
      <c r="S70" t="s">
        <v>71</v>
      </c>
      <c r="AP70" s="30" t="s">
        <v>357</v>
      </c>
      <c r="AQ70" s="30" t="s">
        <v>408</v>
      </c>
      <c r="AR70" s="31" t="s">
        <v>65</v>
      </c>
      <c r="AS70" s="31" t="s">
        <v>51</v>
      </c>
      <c r="AT70" s="31" t="s">
        <v>54</v>
      </c>
      <c r="AU70" s="31" t="s">
        <v>129</v>
      </c>
      <c r="AV70" s="32">
        <v>21151.084762499991</v>
      </c>
      <c r="AW70" s="32">
        <v>14265.897757031247</v>
      </c>
      <c r="AX70" s="33">
        <v>1.4826325775449523</v>
      </c>
      <c r="AY70" s="32">
        <v>21151.084762499991</v>
      </c>
      <c r="AZ70" s="32">
        <v>6885.1870054687442</v>
      </c>
      <c r="BA70" s="34">
        <v>0.3255240609538807</v>
      </c>
      <c r="BB70" s="35">
        <v>0.3255240609538807</v>
      </c>
    </row>
    <row r="71" spans="1:54" x14ac:dyDescent="0.35">
      <c r="A71" t="s">
        <v>409</v>
      </c>
      <c r="B71" s="16">
        <v>4.5</v>
      </c>
      <c r="C71" s="16"/>
      <c r="D71" s="16"/>
      <c r="E71" s="16">
        <v>14.532530718749999</v>
      </c>
      <c r="F71" s="16">
        <v>18.165663398437498</v>
      </c>
      <c r="K71" s="17" t="s">
        <v>410</v>
      </c>
      <c r="L71" s="17"/>
      <c r="M71" s="56" t="s">
        <v>194</v>
      </c>
      <c r="N71" s="18" t="s">
        <v>9</v>
      </c>
      <c r="O71" s="18"/>
      <c r="P71" s="18" t="s">
        <v>51</v>
      </c>
      <c r="Q71" s="18"/>
      <c r="S71" t="s">
        <v>71</v>
      </c>
      <c r="AP71" s="22" t="s">
        <v>357</v>
      </c>
      <c r="AQ71" s="22" t="s">
        <v>411</v>
      </c>
      <c r="AR71" s="23" t="s">
        <v>65</v>
      </c>
      <c r="AS71" s="23" t="s">
        <v>165</v>
      </c>
      <c r="AT71" s="23" t="s">
        <v>54</v>
      </c>
      <c r="AU71" s="23" t="s">
        <v>109</v>
      </c>
      <c r="AV71" s="63">
        <v>11701.415000000001</v>
      </c>
      <c r="AW71" s="63">
        <v>16681.056</v>
      </c>
      <c r="AX71" s="25"/>
      <c r="AY71" s="24"/>
      <c r="AZ71" s="24"/>
      <c r="BA71" s="26"/>
      <c r="BB71" s="27"/>
    </row>
    <row r="72" spans="1:54" x14ac:dyDescent="0.35">
      <c r="A72" t="s">
        <v>412</v>
      </c>
      <c r="B72" s="16">
        <v>8.24</v>
      </c>
      <c r="C72" s="16"/>
      <c r="D72" s="16"/>
      <c r="E72" s="16">
        <v>19.381788421874997</v>
      </c>
      <c r="F72" s="16">
        <v>24.227235527343748</v>
      </c>
      <c r="K72" s="1" t="s">
        <v>413</v>
      </c>
      <c r="L72" s="1"/>
      <c r="M72" s="1" t="s">
        <v>183</v>
      </c>
      <c r="N72" s="1" t="s">
        <v>13</v>
      </c>
      <c r="P72" t="s">
        <v>51</v>
      </c>
      <c r="Q72" s="18"/>
      <c r="S72" t="s">
        <v>71</v>
      </c>
      <c r="AP72" s="64" t="s">
        <v>414</v>
      </c>
      <c r="AQ72" s="64"/>
      <c r="AR72" s="64"/>
      <c r="AS72" s="64"/>
      <c r="AT72" s="64"/>
      <c r="AU72" s="64"/>
      <c r="AV72" s="65">
        <v>193138.72342732988</v>
      </c>
      <c r="AW72" s="65">
        <v>160485.91057660987</v>
      </c>
      <c r="AX72" s="33">
        <v>1.2034621776665735</v>
      </c>
      <c r="AY72" s="66">
        <v>193138.72342732988</v>
      </c>
      <c r="AZ72" s="66">
        <v>32652.812850720016</v>
      </c>
      <c r="BA72" s="67">
        <v>0.16906403993607175</v>
      </c>
      <c r="BB72" s="68">
        <v>0.16906403993607175</v>
      </c>
    </row>
    <row r="73" spans="1:54" x14ac:dyDescent="0.35">
      <c r="A73" t="s">
        <v>415</v>
      </c>
      <c r="B73" s="16"/>
      <c r="D73">
        <v>5.19</v>
      </c>
      <c r="E73" s="16"/>
      <c r="F73" s="16"/>
      <c r="K73" s="1" t="s">
        <v>416</v>
      </c>
      <c r="L73" s="1"/>
      <c r="M73" s="1" t="s">
        <v>417</v>
      </c>
      <c r="N73" s="1" t="s">
        <v>13</v>
      </c>
      <c r="P73" t="s">
        <v>51</v>
      </c>
      <c r="Q73" s="18"/>
      <c r="S73" t="s">
        <v>71</v>
      </c>
      <c r="AP73" s="22" t="s">
        <v>13</v>
      </c>
      <c r="AQ73" s="22" t="s">
        <v>418</v>
      </c>
      <c r="AR73" s="23" t="s">
        <v>89</v>
      </c>
      <c r="AS73" s="23" t="s">
        <v>51</v>
      </c>
      <c r="AT73" s="23" t="s">
        <v>54</v>
      </c>
      <c r="AU73" s="23" t="s">
        <v>109</v>
      </c>
      <c r="AV73" s="24">
        <v>79491.08</v>
      </c>
      <c r="AW73" s="24">
        <v>62728.276545678069</v>
      </c>
      <c r="AX73" s="25">
        <v>1.2672288221104788</v>
      </c>
      <c r="AY73" s="24">
        <v>79491.08</v>
      </c>
      <c r="AZ73" s="24">
        <v>16762.803454321933</v>
      </c>
      <c r="BA73" s="26">
        <v>0.21087653425166614</v>
      </c>
      <c r="BB73" s="27">
        <v>0.21087653425166614</v>
      </c>
    </row>
    <row r="74" spans="1:54" x14ac:dyDescent="0.35">
      <c r="A74" t="s">
        <v>419</v>
      </c>
      <c r="B74" s="16"/>
      <c r="C74" s="16">
        <v>4.9486040999999998</v>
      </c>
      <c r="D74" s="16"/>
      <c r="E74" s="16"/>
      <c r="F74" s="16"/>
      <c r="S74">
        <v>0</v>
      </c>
      <c r="AP74" s="30" t="s">
        <v>13</v>
      </c>
      <c r="AQ74" s="30" t="s">
        <v>420</v>
      </c>
      <c r="AR74" s="31" t="s">
        <v>421</v>
      </c>
      <c r="AS74" s="31" t="s">
        <v>51</v>
      </c>
      <c r="AT74" s="31" t="s">
        <v>54</v>
      </c>
      <c r="AU74" s="31"/>
      <c r="AV74" s="32">
        <v>65976.083333333343</v>
      </c>
      <c r="AW74" s="32">
        <v>42533.9</v>
      </c>
      <c r="AX74" s="33">
        <v>1.5511411681819287</v>
      </c>
      <c r="AY74" s="32">
        <v>65976.083333333343</v>
      </c>
      <c r="AZ74" s="32">
        <v>23442.183333333342</v>
      </c>
      <c r="BA74" s="34">
        <v>0.3553133521869668</v>
      </c>
      <c r="BB74" s="35">
        <v>0.3553133521869668</v>
      </c>
    </row>
    <row r="75" spans="1:54" x14ac:dyDescent="0.35">
      <c r="A75" t="s">
        <v>422</v>
      </c>
      <c r="B75" s="16">
        <v>6.5</v>
      </c>
      <c r="C75" s="16"/>
      <c r="D75" s="16"/>
      <c r="E75" s="16"/>
      <c r="F75" s="16"/>
      <c r="AP75" s="57" t="s">
        <v>423</v>
      </c>
      <c r="AQ75" s="57"/>
      <c r="AR75" s="57"/>
      <c r="AS75" s="57"/>
      <c r="AT75" s="57"/>
      <c r="AU75" s="57"/>
      <c r="AV75" s="58">
        <v>145467.16333333333</v>
      </c>
      <c r="AW75" s="58">
        <v>105262.17654567807</v>
      </c>
      <c r="AX75" s="25">
        <v>1.3819509353410384</v>
      </c>
      <c r="AY75" s="66">
        <v>145467.16333333333</v>
      </c>
      <c r="AZ75" s="66">
        <v>40204.98678765526</v>
      </c>
      <c r="BA75" s="59">
        <v>0.27638530831543628</v>
      </c>
      <c r="BB75" s="60">
        <v>0.27638530831543628</v>
      </c>
    </row>
    <row r="76" spans="1:54" x14ac:dyDescent="0.35">
      <c r="A76" t="s">
        <v>424</v>
      </c>
      <c r="B76" s="16">
        <v>6.3</v>
      </c>
      <c r="C76" s="16"/>
      <c r="D76" s="16"/>
      <c r="E76" s="16">
        <v>20.926844234999997</v>
      </c>
      <c r="F76" s="16">
        <v>26.158555293749998</v>
      </c>
      <c r="AP76" s="30" t="s">
        <v>425</v>
      </c>
      <c r="AQ76" s="30" t="s">
        <v>426</v>
      </c>
      <c r="AR76" s="31" t="s">
        <v>427</v>
      </c>
      <c r="AS76" s="31" t="s">
        <v>51</v>
      </c>
      <c r="AT76" s="31" t="s">
        <v>54</v>
      </c>
      <c r="AU76" s="31"/>
      <c r="AV76" s="32">
        <v>2624</v>
      </c>
      <c r="AW76" s="32">
        <v>1351.5253568437499</v>
      </c>
      <c r="AX76" s="33">
        <v>1.9415100032809529</v>
      </c>
      <c r="AY76" s="32">
        <v>2624</v>
      </c>
      <c r="AZ76" s="32">
        <v>1272.4746431562501</v>
      </c>
      <c r="BA76" s="34">
        <v>0.4849369829101563</v>
      </c>
      <c r="BB76" s="35">
        <v>0.4849369829101563</v>
      </c>
    </row>
    <row r="77" spans="1:54" x14ac:dyDescent="0.35">
      <c r="A77" t="s">
        <v>428</v>
      </c>
      <c r="B77" s="16">
        <v>5.15</v>
      </c>
      <c r="C77" s="16"/>
      <c r="D77" s="16">
        <v>4.8701921830718753</v>
      </c>
      <c r="E77" s="16"/>
      <c r="F77" s="16"/>
      <c r="AP77" s="22" t="s">
        <v>425</v>
      </c>
      <c r="AQ77" s="22" t="s">
        <v>429</v>
      </c>
      <c r="AR77" s="23" t="s">
        <v>427</v>
      </c>
      <c r="AS77" s="23" t="s">
        <v>51</v>
      </c>
      <c r="AT77" s="23" t="s">
        <v>54</v>
      </c>
      <c r="AU77" s="23"/>
      <c r="AV77" s="24">
        <v>3092</v>
      </c>
      <c r="AW77" s="24">
        <v>1946.1965138549997</v>
      </c>
      <c r="AX77" s="25">
        <v>1.5887398718413117</v>
      </c>
      <c r="AY77" s="24">
        <v>3092</v>
      </c>
      <c r="AZ77" s="24">
        <v>1145.8034861450003</v>
      </c>
      <c r="BA77" s="26">
        <v>0.37057033833926273</v>
      </c>
      <c r="BB77" s="27">
        <v>0.37057033833926273</v>
      </c>
    </row>
    <row r="78" spans="1:54" x14ac:dyDescent="0.35">
      <c r="A78" t="s">
        <v>430</v>
      </c>
      <c r="B78" s="16"/>
      <c r="E78" s="16">
        <v>15.69513317625</v>
      </c>
      <c r="F78" s="16">
        <v>19.618916470312499</v>
      </c>
      <c r="AP78" s="30" t="s">
        <v>425</v>
      </c>
      <c r="AQ78" s="30" t="s">
        <v>431</v>
      </c>
      <c r="AR78" s="31" t="s">
        <v>427</v>
      </c>
      <c r="AS78" s="31" t="s">
        <v>51</v>
      </c>
      <c r="AT78" s="31" t="s">
        <v>54</v>
      </c>
      <c r="AU78" s="31"/>
      <c r="AV78" s="32">
        <v>3557</v>
      </c>
      <c r="AW78" s="32">
        <v>1946.1965138549997</v>
      </c>
      <c r="AX78" s="33">
        <v>1.827667439889892</v>
      </c>
      <c r="AY78" s="32">
        <v>3557</v>
      </c>
      <c r="AZ78" s="32">
        <v>1610.8034861450003</v>
      </c>
      <c r="BA78" s="34">
        <v>0.45285450833427054</v>
      </c>
      <c r="BB78" s="35">
        <v>0.45285450833427054</v>
      </c>
    </row>
    <row r="79" spans="1:54" x14ac:dyDescent="0.35">
      <c r="A79" t="s">
        <v>432</v>
      </c>
      <c r="B79" s="16">
        <v>6</v>
      </c>
      <c r="C79" s="16"/>
      <c r="D79" s="16">
        <v>5.1883454412624994</v>
      </c>
      <c r="E79" s="16"/>
      <c r="F79" s="16"/>
      <c r="AP79" s="22" t="s">
        <v>425</v>
      </c>
      <c r="AQ79" s="22" t="s">
        <v>433</v>
      </c>
      <c r="AR79" s="23" t="s">
        <v>427</v>
      </c>
      <c r="AS79" s="23" t="s">
        <v>51</v>
      </c>
      <c r="AT79" s="23" t="s">
        <v>54</v>
      </c>
      <c r="AU79" s="23"/>
      <c r="AV79" s="24">
        <v>7712.4447400000026</v>
      </c>
      <c r="AW79" s="24">
        <v>4224.4511916695756</v>
      </c>
      <c r="AX79" s="25">
        <v>1.8256678536631197</v>
      </c>
      <c r="AY79" s="24">
        <v>7712.4447400000026</v>
      </c>
      <c r="AZ79" s="24">
        <v>3487.9935483304271</v>
      </c>
      <c r="BA79" s="26">
        <v>0.45225524018865459</v>
      </c>
      <c r="BB79" s="27">
        <v>0.45225524018865459</v>
      </c>
    </row>
    <row r="80" spans="1:54" x14ac:dyDescent="0.35">
      <c r="A80" t="s">
        <v>434</v>
      </c>
      <c r="B80" s="16">
        <v>14.42</v>
      </c>
      <c r="C80" s="16"/>
      <c r="D80" s="16"/>
      <c r="E80" s="16"/>
      <c r="F80" s="16"/>
      <c r="AP80" s="30" t="s">
        <v>425</v>
      </c>
      <c r="AQ80" s="30" t="s">
        <v>435</v>
      </c>
      <c r="AR80" s="31" t="s">
        <v>427</v>
      </c>
      <c r="AS80" s="31" t="s">
        <v>51</v>
      </c>
      <c r="AT80" s="31" t="s">
        <v>54</v>
      </c>
      <c r="AU80" s="31"/>
      <c r="AV80" s="32">
        <v>2778</v>
      </c>
      <c r="AW80" s="32">
        <v>1459.6473853912498</v>
      </c>
      <c r="AX80" s="33">
        <v>1.9031993807568623</v>
      </c>
      <c r="AY80" s="32">
        <v>2778</v>
      </c>
      <c r="AZ80" s="32">
        <v>1318.3526146087502</v>
      </c>
      <c r="BA80" s="34">
        <v>0.47456897574109075</v>
      </c>
      <c r="BB80" s="35">
        <v>0.47456897574109075</v>
      </c>
    </row>
    <row r="81" spans="1:54" x14ac:dyDescent="0.35">
      <c r="A81" t="s">
        <v>436</v>
      </c>
      <c r="B81" s="16"/>
      <c r="E81" s="16">
        <v>10.463422117499999</v>
      </c>
      <c r="F81" s="16">
        <v>13.079277646874999</v>
      </c>
      <c r="AP81" s="22" t="s">
        <v>425</v>
      </c>
      <c r="AQ81" s="22" t="s">
        <v>437</v>
      </c>
      <c r="AR81" s="23" t="s">
        <v>427</v>
      </c>
      <c r="AS81" s="23" t="s">
        <v>51</v>
      </c>
      <c r="AT81" s="23" t="s">
        <v>54</v>
      </c>
      <c r="AU81" s="23"/>
      <c r="AV81" s="24">
        <v>2392</v>
      </c>
      <c r="AW81" s="24">
        <v>924.44</v>
      </c>
      <c r="AX81" s="25">
        <v>2.5875124399636533</v>
      </c>
      <c r="AY81" s="24">
        <v>2392</v>
      </c>
      <c r="AZ81" s="24">
        <v>1467.56</v>
      </c>
      <c r="BA81" s="26">
        <v>0.61352842809364549</v>
      </c>
      <c r="BB81" s="27">
        <v>0.61352842809364549</v>
      </c>
    </row>
    <row r="82" spans="1:54" x14ac:dyDescent="0.35">
      <c r="A82" t="s">
        <v>438</v>
      </c>
      <c r="B82" s="16">
        <v>5.15</v>
      </c>
      <c r="C82" s="16"/>
      <c r="D82" s="16"/>
      <c r="E82" s="16"/>
      <c r="F82" s="16"/>
      <c r="AP82" s="64" t="s">
        <v>439</v>
      </c>
      <c r="AQ82" s="64"/>
      <c r="AR82" s="64"/>
      <c r="AS82" s="64"/>
      <c r="AT82" s="64"/>
      <c r="AU82" s="64"/>
      <c r="AV82" s="65">
        <v>22155.444740000003</v>
      </c>
      <c r="AW82" s="65">
        <v>11852.456961614576</v>
      </c>
      <c r="AX82" s="33">
        <v>1.8692702122228946</v>
      </c>
      <c r="AY82" s="65">
        <v>22155.444740000003</v>
      </c>
      <c r="AZ82" s="65">
        <v>10302.987778385426</v>
      </c>
      <c r="BA82" s="69">
        <v>0.46503186459552992</v>
      </c>
      <c r="BB82" s="70">
        <v>0.46503186459552992</v>
      </c>
    </row>
    <row r="83" spans="1:54" x14ac:dyDescent="0.35">
      <c r="A83" t="s">
        <v>440</v>
      </c>
      <c r="B83" s="16">
        <v>5.15</v>
      </c>
      <c r="C83" s="16">
        <v>4.95</v>
      </c>
      <c r="D83" s="16"/>
      <c r="E83" s="16">
        <v>16</v>
      </c>
      <c r="F83" s="16">
        <v>20</v>
      </c>
    </row>
    <row r="84" spans="1:54" x14ac:dyDescent="0.35">
      <c r="A84" t="s">
        <v>441</v>
      </c>
      <c r="B84" s="16"/>
      <c r="C84" s="16">
        <v>4.95</v>
      </c>
      <c r="D84" s="16"/>
      <c r="E84" s="16"/>
      <c r="F84" s="16"/>
    </row>
    <row r="85" spans="1:54" x14ac:dyDescent="0.35">
      <c r="A85" t="s">
        <v>442</v>
      </c>
      <c r="B85" s="16">
        <v>7.21</v>
      </c>
      <c r="C85" s="16"/>
      <c r="D85" s="16"/>
      <c r="E85" s="16"/>
      <c r="F85" s="16"/>
    </row>
    <row r="86" spans="1:54" x14ac:dyDescent="0.35">
      <c r="A86" t="s">
        <v>443</v>
      </c>
      <c r="B86" s="16">
        <v>5.15</v>
      </c>
      <c r="C86" s="16"/>
      <c r="D86" s="16">
        <v>4.8701921830718753</v>
      </c>
      <c r="E86" s="16"/>
      <c r="F86" s="16"/>
    </row>
    <row r="87" spans="1:54" x14ac:dyDescent="0.35">
      <c r="A87" t="s">
        <v>444</v>
      </c>
      <c r="B87" s="16"/>
      <c r="E87" s="16"/>
      <c r="F87" s="16"/>
      <c r="H87">
        <v>0.26800000000000002</v>
      </c>
    </row>
    <row r="88" spans="1:54" x14ac:dyDescent="0.35">
      <c r="A88" t="s">
        <v>445</v>
      </c>
      <c r="B88" s="16"/>
      <c r="E88" s="16"/>
      <c r="F88" s="16"/>
      <c r="H88">
        <v>0.41199999999999998</v>
      </c>
    </row>
    <row r="89" spans="1:54" x14ac:dyDescent="0.35">
      <c r="A89" t="s">
        <v>446</v>
      </c>
      <c r="B89" s="16">
        <v>6.3</v>
      </c>
      <c r="C89" s="16"/>
      <c r="D89" s="16"/>
      <c r="E89" s="16">
        <v>19.305013806787496</v>
      </c>
      <c r="F89" s="16">
        <v>24.131267258484371</v>
      </c>
    </row>
    <row r="90" spans="1:54" x14ac:dyDescent="0.35">
      <c r="E90" s="71"/>
      <c r="F90" s="71"/>
    </row>
  </sheetData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tradicional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Antonio</dc:creator>
  <cp:lastModifiedBy>Diana Antonio</cp:lastModifiedBy>
  <dcterms:created xsi:type="dcterms:W3CDTF">2026-06-04T17:09:38Z</dcterms:created>
  <dcterms:modified xsi:type="dcterms:W3CDTF">2026-06-04T17:32:13Z</dcterms:modified>
</cp:coreProperties>
</file>